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ilnius\"/>
    </mc:Choice>
  </mc:AlternateContent>
  <xr:revisionPtr revIDLastSave="0" documentId="13_ncr:1_{E12C8647-5141-4B75-BCC9-9AB617A3BB87}" xr6:coauthVersionLast="38" xr6:coauthVersionMax="38" xr10:uidLastSave="{00000000-0000-0000-0000-000000000000}"/>
  <bookViews>
    <workbookView xWindow="0" yWindow="0" windowWidth="19200" windowHeight="6870" xr2:uid="{02123A24-6504-49CC-ADF2-6428D3974B1D}"/>
  </bookViews>
  <sheets>
    <sheet name="Линейная парная регрессия" sheetId="1" r:id="rId1"/>
    <sheet name="Нелинейная парная регрессия" sheetId="2" r:id="rId2"/>
    <sheet name="Множественная нелинейная регрес" sheetId="4" r:id="rId3"/>
    <sheet name="Нелинейная поверхность" sheetId="5" r:id="rId4"/>
  </sheets>
  <definedNames>
    <definedName name="solver_adj" localSheetId="0" hidden="1">'Линейная парная регрессия'!$G$6:$H$6</definedName>
    <definedName name="solver_adj" localSheetId="2" hidden="1">'Множественная нелинейная регрес'!$G$6:$L$6</definedName>
    <definedName name="solver_adj" localSheetId="1" hidden="1">'Нелинейная парная регрессия'!$G$6:$I$6</definedName>
    <definedName name="solver_cvg" localSheetId="0" hidden="1">0.0001</definedName>
    <definedName name="solver_cvg" localSheetId="2" hidden="1">0.0001</definedName>
    <definedName name="solver_cvg" localSheetId="1" hidden="1">0.0001</definedName>
    <definedName name="solver_drv" localSheetId="0" hidden="1">2</definedName>
    <definedName name="solver_drv" localSheetId="2" hidden="1">1</definedName>
    <definedName name="solver_drv" localSheetId="1" hidden="1">1</definedName>
    <definedName name="solver_eng" localSheetId="0" hidden="1">1</definedName>
    <definedName name="solver_eng" localSheetId="2" hidden="1">1</definedName>
    <definedName name="solver_eng" localSheetId="1" hidden="1">1</definedName>
    <definedName name="solver_est" localSheetId="0" hidden="1">1</definedName>
    <definedName name="solver_est" localSheetId="2" hidden="1">1</definedName>
    <definedName name="solver_est" localSheetId="1" hidden="1">1</definedName>
    <definedName name="solver_itr" localSheetId="0" hidden="1">2147483647</definedName>
    <definedName name="solver_itr" localSheetId="2" hidden="1">2147483647</definedName>
    <definedName name="solver_itr" localSheetId="1" hidden="1">2147483647</definedName>
    <definedName name="solver_mip" localSheetId="0" hidden="1">2147483647</definedName>
    <definedName name="solver_mip" localSheetId="2" hidden="1">2147483647</definedName>
    <definedName name="solver_mip" localSheetId="1" hidden="1">2147483647</definedName>
    <definedName name="solver_mni" localSheetId="0" hidden="1">30</definedName>
    <definedName name="solver_mni" localSheetId="2" hidden="1">30</definedName>
    <definedName name="solver_mni" localSheetId="1" hidden="1">30</definedName>
    <definedName name="solver_mrt" localSheetId="0" hidden="1">0.075</definedName>
    <definedName name="solver_mrt" localSheetId="2" hidden="1">0.075</definedName>
    <definedName name="solver_mrt" localSheetId="1" hidden="1">0.075</definedName>
    <definedName name="solver_msl" localSheetId="0" hidden="1">2</definedName>
    <definedName name="solver_msl" localSheetId="2" hidden="1">2</definedName>
    <definedName name="solver_msl" localSheetId="1" hidden="1">2</definedName>
    <definedName name="solver_neg" localSheetId="0" hidden="1">2</definedName>
    <definedName name="solver_neg" localSheetId="2" hidden="1">2</definedName>
    <definedName name="solver_neg" localSheetId="1" hidden="1">2</definedName>
    <definedName name="solver_nod" localSheetId="0" hidden="1">2147483647</definedName>
    <definedName name="solver_nod" localSheetId="2" hidden="1">2147483647</definedName>
    <definedName name="solver_nod" localSheetId="1" hidden="1">2147483647</definedName>
    <definedName name="solver_num" localSheetId="0" hidden="1">0</definedName>
    <definedName name="solver_num" localSheetId="2" hidden="1">0</definedName>
    <definedName name="solver_num" localSheetId="1" hidden="1">0</definedName>
    <definedName name="solver_nwt" localSheetId="0" hidden="1">1</definedName>
    <definedName name="solver_nwt" localSheetId="2" hidden="1">1</definedName>
    <definedName name="solver_nwt" localSheetId="1" hidden="1">1</definedName>
    <definedName name="solver_opt" localSheetId="0" hidden="1">'Линейная парная регрессия'!$L$6</definedName>
    <definedName name="solver_opt" localSheetId="2" hidden="1">'Множественная нелинейная регрес'!$N$6</definedName>
    <definedName name="solver_opt" localSheetId="1" hidden="1">'Нелинейная парная регрессия'!$L$6</definedName>
    <definedName name="solver_pre" localSheetId="0" hidden="1">0.000001</definedName>
    <definedName name="solver_pre" localSheetId="2" hidden="1">0.000001</definedName>
    <definedName name="solver_pre" localSheetId="1" hidden="1">0.000001</definedName>
    <definedName name="solver_rbv" localSheetId="0" hidden="1">2</definedName>
    <definedName name="solver_rbv" localSheetId="2" hidden="1">1</definedName>
    <definedName name="solver_rbv" localSheetId="1" hidden="1">1</definedName>
    <definedName name="solver_rlx" localSheetId="0" hidden="1">2</definedName>
    <definedName name="solver_rlx" localSheetId="2" hidden="1">2</definedName>
    <definedName name="solver_rlx" localSheetId="1" hidden="1">2</definedName>
    <definedName name="solver_rsd" localSheetId="0" hidden="1">0</definedName>
    <definedName name="solver_rsd" localSheetId="2" hidden="1">0</definedName>
    <definedName name="solver_rsd" localSheetId="1" hidden="1">0</definedName>
    <definedName name="solver_scl" localSheetId="0" hidden="1">2</definedName>
    <definedName name="solver_scl" localSheetId="2" hidden="1">1</definedName>
    <definedName name="solver_scl" localSheetId="1" hidden="1">1</definedName>
    <definedName name="solver_sho" localSheetId="0" hidden="1">2</definedName>
    <definedName name="solver_sho" localSheetId="2" hidden="1">2</definedName>
    <definedName name="solver_sho" localSheetId="1" hidden="1">2</definedName>
    <definedName name="solver_ssz" localSheetId="0" hidden="1">100</definedName>
    <definedName name="solver_ssz" localSheetId="2" hidden="1">100</definedName>
    <definedName name="solver_ssz" localSheetId="1" hidden="1">100</definedName>
    <definedName name="solver_tim" localSheetId="0" hidden="1">2147483647</definedName>
    <definedName name="solver_tim" localSheetId="2" hidden="1">2147483647</definedName>
    <definedName name="solver_tim" localSheetId="1" hidden="1">2147483647</definedName>
    <definedName name="solver_tol" localSheetId="0" hidden="1">0.01</definedName>
    <definedName name="solver_tol" localSheetId="2" hidden="1">0.01</definedName>
    <definedName name="solver_tol" localSheetId="1" hidden="1">0.01</definedName>
    <definedName name="solver_typ" localSheetId="0" hidden="1">2</definedName>
    <definedName name="solver_typ" localSheetId="2" hidden="1">2</definedName>
    <definedName name="solver_typ" localSheetId="1" hidden="1">2</definedName>
    <definedName name="solver_val" localSheetId="0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2" hidden="1">3</definedName>
    <definedName name="solver_ver" localSheetId="1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C5" i="5"/>
  <c r="B7" i="5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6" i="5"/>
  <c r="AV4" i="5"/>
  <c r="AW4" i="5"/>
  <c r="AX4" i="5"/>
  <c r="AY4" i="5" s="1"/>
  <c r="AZ4" i="5" s="1"/>
  <c r="BA4" i="5" s="1"/>
  <c r="Z4" i="5"/>
  <c r="AA4" i="5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E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D4" i="5"/>
  <c r="K17" i="4" l="1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6" i="4"/>
  <c r="G16" i="4"/>
  <c r="I16" i="4" s="1"/>
  <c r="I19" i="4"/>
  <c r="I20" i="4"/>
  <c r="I21" i="4"/>
  <c r="G18" i="4"/>
  <c r="I18" i="4" s="1"/>
  <c r="G17" i="4"/>
  <c r="I17" i="4" s="1"/>
  <c r="G19" i="4"/>
  <c r="G20" i="4"/>
  <c r="G21" i="4"/>
  <c r="G22" i="4"/>
  <c r="I22" i="4" s="1"/>
  <c r="G23" i="4"/>
  <c r="I23" i="4" s="1"/>
  <c r="G24" i="4"/>
  <c r="I24" i="4" s="1"/>
  <c r="G25" i="4"/>
  <c r="I25" i="4" s="1"/>
  <c r="G26" i="4"/>
  <c r="I26" i="4" s="1"/>
  <c r="G27" i="4"/>
  <c r="I27" i="4" s="1"/>
  <c r="G28" i="4"/>
  <c r="I28" i="4" s="1"/>
  <c r="G29" i="4"/>
  <c r="I29" i="4" s="1"/>
  <c r="G30" i="4"/>
  <c r="I30" i="4" s="1"/>
  <c r="G31" i="4"/>
  <c r="I31" i="4" s="1"/>
  <c r="G32" i="4"/>
  <c r="I32" i="4" s="1"/>
  <c r="G33" i="4"/>
  <c r="I33" i="4" s="1"/>
  <c r="G34" i="4"/>
  <c r="I34" i="4" s="1"/>
  <c r="G35" i="4"/>
  <c r="I35" i="4" s="1"/>
  <c r="G36" i="4"/>
  <c r="I36" i="4" s="1"/>
  <c r="G37" i="4"/>
  <c r="I37" i="4" s="1"/>
  <c r="G38" i="4"/>
  <c r="I38" i="4" s="1"/>
  <c r="G39" i="4"/>
  <c r="I39" i="4" s="1"/>
  <c r="G40" i="4"/>
  <c r="I40" i="4" s="1"/>
  <c r="G41" i="4"/>
  <c r="I41" i="4" s="1"/>
  <c r="G42" i="4"/>
  <c r="I42" i="4" s="1"/>
  <c r="G43" i="4"/>
  <c r="I43" i="4" s="1"/>
  <c r="G44" i="4"/>
  <c r="I44" i="4" s="1"/>
  <c r="G45" i="4"/>
  <c r="I45" i="4" s="1"/>
  <c r="G46" i="4"/>
  <c r="I46" i="4" s="1"/>
  <c r="G47" i="4"/>
  <c r="I47" i="4" s="1"/>
  <c r="G48" i="4"/>
  <c r="I48" i="4" s="1"/>
  <c r="G49" i="4"/>
  <c r="I49" i="4" s="1"/>
  <c r="G50" i="4"/>
  <c r="I50" i="4" s="1"/>
  <c r="G51" i="4"/>
  <c r="I51" i="4" s="1"/>
  <c r="G52" i="4"/>
  <c r="I52" i="4" s="1"/>
  <c r="G53" i="4"/>
  <c r="I53" i="4" s="1"/>
  <c r="G54" i="4"/>
  <c r="I54" i="4" s="1"/>
  <c r="G55" i="4"/>
  <c r="I55" i="4" s="1"/>
  <c r="G56" i="4"/>
  <c r="I56" i="4" s="1"/>
  <c r="G57" i="4"/>
  <c r="I57" i="4" s="1"/>
  <c r="G58" i="4"/>
  <c r="I58" i="4" s="1"/>
  <c r="G59" i="4"/>
  <c r="I59" i="4" s="1"/>
  <c r="G60" i="4"/>
  <c r="I60" i="4" s="1"/>
  <c r="G61" i="4"/>
  <c r="I61" i="4" s="1"/>
  <c r="G62" i="4"/>
  <c r="I62" i="4" s="1"/>
  <c r="G63" i="4"/>
  <c r="I63" i="4" s="1"/>
  <c r="G64" i="4"/>
  <c r="I64" i="4" s="1"/>
  <c r="G65" i="4"/>
  <c r="I65" i="4" s="1"/>
  <c r="G66" i="4"/>
  <c r="I66" i="4" s="1"/>
  <c r="G67" i="4"/>
  <c r="I67" i="4" s="1"/>
  <c r="G68" i="4"/>
  <c r="I68" i="4" s="1"/>
  <c r="G69" i="4"/>
  <c r="I69" i="4" s="1"/>
  <c r="G70" i="4"/>
  <c r="I70" i="4" s="1"/>
  <c r="G71" i="4"/>
  <c r="I71" i="4" s="1"/>
  <c r="G72" i="4"/>
  <c r="I72" i="4" s="1"/>
  <c r="G73" i="4"/>
  <c r="I73" i="4" s="1"/>
  <c r="G74" i="4"/>
  <c r="I74" i="4" s="1"/>
  <c r="G75" i="4"/>
  <c r="I75" i="4" s="1"/>
  <c r="G76" i="4"/>
  <c r="I76" i="4" s="1"/>
  <c r="G77" i="4"/>
  <c r="I77" i="4" s="1"/>
  <c r="G78" i="4"/>
  <c r="I78" i="4" s="1"/>
  <c r="G79" i="4"/>
  <c r="I79" i="4" s="1"/>
  <c r="G80" i="4"/>
  <c r="I80" i="4" s="1"/>
  <c r="G81" i="4"/>
  <c r="I81" i="4" s="1"/>
  <c r="G82" i="4"/>
  <c r="I82" i="4" s="1"/>
  <c r="G83" i="4"/>
  <c r="I83" i="4" s="1"/>
  <c r="G84" i="4"/>
  <c r="I84" i="4" s="1"/>
  <c r="G85" i="4"/>
  <c r="I85" i="4" s="1"/>
  <c r="G86" i="4"/>
  <c r="I86" i="4" s="1"/>
  <c r="G87" i="4"/>
  <c r="I87" i="4" s="1"/>
  <c r="G88" i="4"/>
  <c r="I88" i="4" s="1"/>
  <c r="G89" i="4"/>
  <c r="I89" i="4" s="1"/>
  <c r="G90" i="4"/>
  <c r="I90" i="4" s="1"/>
  <c r="G91" i="4"/>
  <c r="I91" i="4" s="1"/>
  <c r="G92" i="4"/>
  <c r="I92" i="4" s="1"/>
  <c r="G93" i="4"/>
  <c r="I93" i="4" s="1"/>
  <c r="G94" i="4"/>
  <c r="I94" i="4" s="1"/>
  <c r="G95" i="4"/>
  <c r="I95" i="4" s="1"/>
  <c r="G96" i="4"/>
  <c r="I96" i="4" s="1"/>
  <c r="G97" i="4"/>
  <c r="I97" i="4" s="1"/>
  <c r="G98" i="4"/>
  <c r="I98" i="4" s="1"/>
  <c r="G99" i="4"/>
  <c r="I99" i="4" s="1"/>
  <c r="G100" i="4"/>
  <c r="I100" i="4" s="1"/>
  <c r="G101" i="4"/>
  <c r="I101" i="4" s="1"/>
  <c r="G102" i="4"/>
  <c r="I102" i="4" s="1"/>
  <c r="G103" i="4"/>
  <c r="I103" i="4" s="1"/>
  <c r="G104" i="4"/>
  <c r="I104" i="4" s="1"/>
  <c r="G105" i="4"/>
  <c r="I105" i="4" s="1"/>
  <c r="G106" i="4"/>
  <c r="I106" i="4" s="1"/>
  <c r="G107" i="4"/>
  <c r="I107" i="4" s="1"/>
  <c r="G108" i="4"/>
  <c r="I108" i="4" s="1"/>
  <c r="G109" i="4"/>
  <c r="I109" i="4" s="1"/>
  <c r="G110" i="4"/>
  <c r="I110" i="4" s="1"/>
  <c r="G111" i="4"/>
  <c r="I111" i="4" s="1"/>
  <c r="G112" i="4"/>
  <c r="I112" i="4" s="1"/>
  <c r="G113" i="4"/>
  <c r="I113" i="4" s="1"/>
  <c r="G114" i="4"/>
  <c r="I114" i="4" s="1"/>
  <c r="G115" i="4"/>
  <c r="I115" i="4" s="1"/>
  <c r="G116" i="4"/>
  <c r="I116" i="4" s="1"/>
  <c r="G117" i="4"/>
  <c r="I117" i="4" s="1"/>
  <c r="G118" i="4"/>
  <c r="I118" i="4" s="1"/>
  <c r="G119" i="4"/>
  <c r="I119" i="4" s="1"/>
  <c r="G120" i="4"/>
  <c r="I120" i="4" s="1"/>
  <c r="G121" i="4"/>
  <c r="I121" i="4" s="1"/>
  <c r="G122" i="4"/>
  <c r="I122" i="4" s="1"/>
  <c r="G123" i="4"/>
  <c r="I123" i="4" s="1"/>
  <c r="G124" i="4"/>
  <c r="I124" i="4" s="1"/>
  <c r="G125" i="4"/>
  <c r="I125" i="4" s="1"/>
  <c r="G126" i="4"/>
  <c r="I126" i="4" s="1"/>
  <c r="G127" i="4"/>
  <c r="I127" i="4" s="1"/>
  <c r="G128" i="4"/>
  <c r="I128" i="4" s="1"/>
  <c r="G129" i="4"/>
  <c r="I129" i="4" s="1"/>
  <c r="G130" i="4"/>
  <c r="I130" i="4" s="1"/>
  <c r="G131" i="4"/>
  <c r="I131" i="4" s="1"/>
  <c r="G132" i="4"/>
  <c r="I132" i="4" s="1"/>
  <c r="G133" i="4"/>
  <c r="I133" i="4" s="1"/>
  <c r="G134" i="4"/>
  <c r="I134" i="4" s="1"/>
  <c r="G135" i="4"/>
  <c r="I135" i="4" s="1"/>
  <c r="G136" i="4"/>
  <c r="I136" i="4" s="1"/>
  <c r="G137" i="4"/>
  <c r="I137" i="4" s="1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6" i="4"/>
  <c r="C18" i="4"/>
  <c r="C19" i="4"/>
  <c r="C20" i="4"/>
  <c r="C21" i="4"/>
  <c r="C22" i="4"/>
  <c r="C23" i="4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7" i="4"/>
  <c r="B20" i="4"/>
  <c r="B17" i="4"/>
  <c r="B18" i="4" s="1"/>
  <c r="B19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83" i="4" s="1"/>
  <c r="B84" i="4" s="1"/>
  <c r="B85" i="4" s="1"/>
  <c r="B86" i="4" s="1"/>
  <c r="B87" i="4" s="1"/>
  <c r="B88" i="4" s="1"/>
  <c r="B89" i="4" s="1"/>
  <c r="B90" i="4" s="1"/>
  <c r="B91" i="4" s="1"/>
  <c r="B92" i="4" s="1"/>
  <c r="B93" i="4" s="1"/>
  <c r="B94" i="4" s="1"/>
  <c r="B95" i="4" s="1"/>
  <c r="B96" i="4" s="1"/>
  <c r="B97" i="4" s="1"/>
  <c r="B98" i="4" s="1"/>
  <c r="B99" i="4" s="1"/>
  <c r="B100" i="4" s="1"/>
  <c r="B101" i="4" s="1"/>
  <c r="B102" i="4" s="1"/>
  <c r="B103" i="4" s="1"/>
  <c r="B104" i="4" s="1"/>
  <c r="B105" i="4" s="1"/>
  <c r="B106" i="4" s="1"/>
  <c r="B107" i="4" s="1"/>
  <c r="B108" i="4" s="1"/>
  <c r="B109" i="4" s="1"/>
  <c r="B110" i="4" s="1"/>
  <c r="B111" i="4" s="1"/>
  <c r="B112" i="4" s="1"/>
  <c r="B113" i="4" s="1"/>
  <c r="B114" i="4" s="1"/>
  <c r="B115" i="4" s="1"/>
  <c r="B116" i="4" s="1"/>
  <c r="B117" i="4" s="1"/>
  <c r="B118" i="4" s="1"/>
  <c r="B119" i="4" s="1"/>
  <c r="B120" i="4" s="1"/>
  <c r="B121" i="4" s="1"/>
  <c r="B122" i="4" s="1"/>
  <c r="B123" i="4" s="1"/>
  <c r="B124" i="4" s="1"/>
  <c r="B125" i="4" s="1"/>
  <c r="B126" i="4" s="1"/>
  <c r="B127" i="4" s="1"/>
  <c r="B128" i="4" s="1"/>
  <c r="B129" i="4" s="1"/>
  <c r="B130" i="4" s="1"/>
  <c r="B131" i="4" s="1"/>
  <c r="B132" i="4" s="1"/>
  <c r="B133" i="4" s="1"/>
  <c r="B134" i="4" s="1"/>
  <c r="B135" i="4" s="1"/>
  <c r="B136" i="4" s="1"/>
  <c r="B137" i="4" s="1"/>
  <c r="A18" i="4"/>
  <c r="A19" i="4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7" i="4"/>
  <c r="G16" i="1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D18" i="2"/>
  <c r="F18" i="2" s="1"/>
  <c r="L18" i="2" s="1"/>
  <c r="M18" i="2" s="1"/>
  <c r="D17" i="2"/>
  <c r="F17" i="2" s="1"/>
  <c r="D19" i="2"/>
  <c r="F19" i="2" s="1"/>
  <c r="L19" i="2" s="1"/>
  <c r="M19" i="2" s="1"/>
  <c r="D20" i="2"/>
  <c r="F20" i="2" s="1"/>
  <c r="L20" i="2" s="1"/>
  <c r="M20" i="2" s="1"/>
  <c r="D21" i="2"/>
  <c r="F21" i="2" s="1"/>
  <c r="L21" i="2" s="1"/>
  <c r="M21" i="2" s="1"/>
  <c r="D22" i="2"/>
  <c r="F22" i="2" s="1"/>
  <c r="D23" i="2"/>
  <c r="F23" i="2" s="1"/>
  <c r="D24" i="2"/>
  <c r="F24" i="2" s="1"/>
  <c r="D25" i="2"/>
  <c r="F25" i="2" s="1"/>
  <c r="D26" i="2"/>
  <c r="F26" i="2" s="1"/>
  <c r="D27" i="2"/>
  <c r="F27" i="2" s="1"/>
  <c r="D28" i="2"/>
  <c r="F28" i="2" s="1"/>
  <c r="D29" i="2"/>
  <c r="F29" i="2" s="1"/>
  <c r="D30" i="2"/>
  <c r="F30" i="2" s="1"/>
  <c r="D31" i="2"/>
  <c r="F31" i="2" s="1"/>
  <c r="D32" i="2"/>
  <c r="F32" i="2" s="1"/>
  <c r="D33" i="2"/>
  <c r="F33" i="2" s="1"/>
  <c r="D34" i="2"/>
  <c r="F34" i="2" s="1"/>
  <c r="L34" i="2" s="1"/>
  <c r="M34" i="2" s="1"/>
  <c r="D35" i="2"/>
  <c r="F35" i="2" s="1"/>
  <c r="D36" i="2"/>
  <c r="F36" i="2" s="1"/>
  <c r="D37" i="2"/>
  <c r="F37" i="2" s="1"/>
  <c r="D38" i="2"/>
  <c r="F38" i="2" s="1"/>
  <c r="D39" i="2"/>
  <c r="F39" i="2" s="1"/>
  <c r="D40" i="2"/>
  <c r="F40" i="2" s="1"/>
  <c r="D41" i="2"/>
  <c r="F41" i="2" s="1"/>
  <c r="D42" i="2"/>
  <c r="F42" i="2" s="1"/>
  <c r="D43" i="2"/>
  <c r="F43" i="2" s="1"/>
  <c r="D44" i="2"/>
  <c r="F44" i="2" s="1"/>
  <c r="D45" i="2"/>
  <c r="F45" i="2" s="1"/>
  <c r="D46" i="2"/>
  <c r="F46" i="2" s="1"/>
  <c r="D47" i="2"/>
  <c r="F47" i="2" s="1"/>
  <c r="D48" i="2"/>
  <c r="F48" i="2" s="1"/>
  <c r="D49" i="2"/>
  <c r="F49" i="2" s="1"/>
  <c r="D50" i="2"/>
  <c r="F50" i="2" s="1"/>
  <c r="D51" i="2"/>
  <c r="F51" i="2" s="1"/>
  <c r="D52" i="2"/>
  <c r="F52" i="2" s="1"/>
  <c r="D53" i="2"/>
  <c r="F53" i="2" s="1"/>
  <c r="D54" i="2"/>
  <c r="F54" i="2" s="1"/>
  <c r="D55" i="2"/>
  <c r="F55" i="2" s="1"/>
  <c r="D56" i="2"/>
  <c r="F56" i="2" s="1"/>
  <c r="D57" i="2"/>
  <c r="F57" i="2" s="1"/>
  <c r="D58" i="2"/>
  <c r="F58" i="2" s="1"/>
  <c r="D59" i="2"/>
  <c r="F59" i="2" s="1"/>
  <c r="D60" i="2"/>
  <c r="F60" i="2" s="1"/>
  <c r="D61" i="2"/>
  <c r="F61" i="2" s="1"/>
  <c r="D62" i="2"/>
  <c r="F62" i="2" s="1"/>
  <c r="D63" i="2"/>
  <c r="F63" i="2" s="1"/>
  <c r="D64" i="2"/>
  <c r="F64" i="2" s="1"/>
  <c r="D65" i="2"/>
  <c r="F65" i="2" s="1"/>
  <c r="D66" i="2"/>
  <c r="F66" i="2" s="1"/>
  <c r="D67" i="2"/>
  <c r="F67" i="2" s="1"/>
  <c r="D68" i="2"/>
  <c r="F68" i="2" s="1"/>
  <c r="D69" i="2"/>
  <c r="F69" i="2" s="1"/>
  <c r="D70" i="2"/>
  <c r="F70" i="2" s="1"/>
  <c r="D71" i="2"/>
  <c r="F71" i="2" s="1"/>
  <c r="D72" i="2"/>
  <c r="F72" i="2" s="1"/>
  <c r="D73" i="2"/>
  <c r="F73" i="2" s="1"/>
  <c r="D74" i="2"/>
  <c r="F74" i="2" s="1"/>
  <c r="D75" i="2"/>
  <c r="F75" i="2" s="1"/>
  <c r="D76" i="2"/>
  <c r="F76" i="2" s="1"/>
  <c r="D77" i="2"/>
  <c r="F77" i="2" s="1"/>
  <c r="D78" i="2"/>
  <c r="F78" i="2" s="1"/>
  <c r="D79" i="2"/>
  <c r="F79" i="2" s="1"/>
  <c r="D80" i="2"/>
  <c r="F80" i="2" s="1"/>
  <c r="D81" i="2"/>
  <c r="F81" i="2" s="1"/>
  <c r="D82" i="2"/>
  <c r="F82" i="2" s="1"/>
  <c r="D83" i="2"/>
  <c r="F83" i="2" s="1"/>
  <c r="D84" i="2"/>
  <c r="F84" i="2" s="1"/>
  <c r="D85" i="2"/>
  <c r="F85" i="2" s="1"/>
  <c r="D86" i="2"/>
  <c r="F86" i="2" s="1"/>
  <c r="D87" i="2"/>
  <c r="F87" i="2" s="1"/>
  <c r="D88" i="2"/>
  <c r="F88" i="2" s="1"/>
  <c r="D89" i="2"/>
  <c r="F89" i="2" s="1"/>
  <c r="D90" i="2"/>
  <c r="F90" i="2" s="1"/>
  <c r="D91" i="2"/>
  <c r="F91" i="2" s="1"/>
  <c r="D92" i="2"/>
  <c r="F92" i="2" s="1"/>
  <c r="D93" i="2"/>
  <c r="F93" i="2" s="1"/>
  <c r="D94" i="2"/>
  <c r="F94" i="2" s="1"/>
  <c r="D95" i="2"/>
  <c r="F95" i="2" s="1"/>
  <c r="D96" i="2"/>
  <c r="F96" i="2" s="1"/>
  <c r="D97" i="2"/>
  <c r="F97" i="2" s="1"/>
  <c r="L97" i="2" s="1"/>
  <c r="M97" i="2" s="1"/>
  <c r="D98" i="2"/>
  <c r="F98" i="2" s="1"/>
  <c r="L98" i="2" s="1"/>
  <c r="M98" i="2" s="1"/>
  <c r="D99" i="2"/>
  <c r="F99" i="2" s="1"/>
  <c r="L99" i="2" s="1"/>
  <c r="M99" i="2" s="1"/>
  <c r="D100" i="2"/>
  <c r="F100" i="2" s="1"/>
  <c r="D101" i="2"/>
  <c r="F101" i="2" s="1"/>
  <c r="D102" i="2"/>
  <c r="F102" i="2" s="1"/>
  <c r="D103" i="2"/>
  <c r="F103" i="2" s="1"/>
  <c r="D104" i="2"/>
  <c r="F104" i="2" s="1"/>
  <c r="D105" i="2"/>
  <c r="F105" i="2" s="1"/>
  <c r="D106" i="2"/>
  <c r="F106" i="2" s="1"/>
  <c r="D107" i="2"/>
  <c r="F107" i="2" s="1"/>
  <c r="D108" i="2"/>
  <c r="F108" i="2" s="1"/>
  <c r="D109" i="2"/>
  <c r="F109" i="2" s="1"/>
  <c r="D110" i="2"/>
  <c r="F110" i="2" s="1"/>
  <c r="D111" i="2"/>
  <c r="F111" i="2" s="1"/>
  <c r="D112" i="2"/>
  <c r="F112" i="2" s="1"/>
  <c r="D113" i="2"/>
  <c r="F113" i="2" s="1"/>
  <c r="D114" i="2"/>
  <c r="F114" i="2" s="1"/>
  <c r="D115" i="2"/>
  <c r="F115" i="2" s="1"/>
  <c r="D116" i="2"/>
  <c r="F116" i="2" s="1"/>
  <c r="D117" i="2"/>
  <c r="F117" i="2" s="1"/>
  <c r="D118" i="2"/>
  <c r="F118" i="2" s="1"/>
  <c r="D119" i="2"/>
  <c r="F119" i="2" s="1"/>
  <c r="D120" i="2"/>
  <c r="F120" i="2" s="1"/>
  <c r="D121" i="2"/>
  <c r="F121" i="2" s="1"/>
  <c r="D122" i="2"/>
  <c r="F122" i="2" s="1"/>
  <c r="D123" i="2"/>
  <c r="F123" i="2" s="1"/>
  <c r="D124" i="2"/>
  <c r="F124" i="2" s="1"/>
  <c r="D125" i="2"/>
  <c r="F125" i="2" s="1"/>
  <c r="D126" i="2"/>
  <c r="F126" i="2" s="1"/>
  <c r="D127" i="2"/>
  <c r="F127" i="2" s="1"/>
  <c r="D128" i="2"/>
  <c r="F128" i="2" s="1"/>
  <c r="D129" i="2"/>
  <c r="F129" i="2" s="1"/>
  <c r="D130" i="2"/>
  <c r="F130" i="2" s="1"/>
  <c r="L130" i="2" s="1"/>
  <c r="M130" i="2" s="1"/>
  <c r="D131" i="2"/>
  <c r="F131" i="2" s="1"/>
  <c r="D132" i="2"/>
  <c r="F132" i="2" s="1"/>
  <c r="D133" i="2"/>
  <c r="F133" i="2" s="1"/>
  <c r="D134" i="2"/>
  <c r="F134" i="2" s="1"/>
  <c r="D135" i="2"/>
  <c r="F135" i="2" s="1"/>
  <c r="D136" i="2"/>
  <c r="F136" i="2" s="1"/>
  <c r="D137" i="2"/>
  <c r="F137" i="2" s="1"/>
  <c r="D16" i="2"/>
  <c r="F16" i="2" s="1"/>
  <c r="L16" i="2" s="1"/>
  <c r="M16" i="2" s="1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6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7" i="2"/>
  <c r="A135" i="2"/>
  <c r="A136" i="2" s="1"/>
  <c r="A137" i="2" s="1"/>
  <c r="A18" i="2"/>
  <c r="A19" i="2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7" i="2"/>
  <c r="O63" i="4" l="1"/>
  <c r="P63" i="4" s="1"/>
  <c r="O47" i="4"/>
  <c r="P47" i="4" s="1"/>
  <c r="O79" i="4"/>
  <c r="P79" i="4" s="1"/>
  <c r="O95" i="4"/>
  <c r="P95" i="4" s="1"/>
  <c r="O31" i="4"/>
  <c r="P31" i="4" s="1"/>
  <c r="O127" i="4"/>
  <c r="P127" i="4" s="1"/>
  <c r="O111" i="4"/>
  <c r="P111" i="4" s="1"/>
  <c r="O128" i="4"/>
  <c r="P128" i="4" s="1"/>
  <c r="O112" i="4"/>
  <c r="P112" i="4" s="1"/>
  <c r="O96" i="4"/>
  <c r="P96" i="4" s="1"/>
  <c r="O80" i="4"/>
  <c r="P80" i="4" s="1"/>
  <c r="O64" i="4"/>
  <c r="P64" i="4" s="1"/>
  <c r="O48" i="4"/>
  <c r="P48" i="4" s="1"/>
  <c r="O32" i="4"/>
  <c r="P32" i="4" s="1"/>
  <c r="O30" i="4"/>
  <c r="P30" i="4" s="1"/>
  <c r="O125" i="4"/>
  <c r="P125" i="4" s="1"/>
  <c r="O109" i="4"/>
  <c r="P109" i="4" s="1"/>
  <c r="O93" i="4"/>
  <c r="P93" i="4" s="1"/>
  <c r="O77" i="4"/>
  <c r="P77" i="4" s="1"/>
  <c r="O61" i="4"/>
  <c r="P61" i="4" s="1"/>
  <c r="O45" i="4"/>
  <c r="P45" i="4" s="1"/>
  <c r="O29" i="4"/>
  <c r="P29" i="4" s="1"/>
  <c r="O124" i="4"/>
  <c r="P124" i="4" s="1"/>
  <c r="O108" i="4"/>
  <c r="P108" i="4" s="1"/>
  <c r="O92" i="4"/>
  <c r="P92" i="4" s="1"/>
  <c r="O76" i="4"/>
  <c r="P76" i="4" s="1"/>
  <c r="O60" i="4"/>
  <c r="P60" i="4" s="1"/>
  <c r="O44" i="4"/>
  <c r="P44" i="4" s="1"/>
  <c r="O28" i="4"/>
  <c r="P28" i="4" s="1"/>
  <c r="O123" i="4"/>
  <c r="P123" i="4" s="1"/>
  <c r="O107" i="4"/>
  <c r="P107" i="4" s="1"/>
  <c r="O91" i="4"/>
  <c r="P91" i="4" s="1"/>
  <c r="O75" i="4"/>
  <c r="P75" i="4" s="1"/>
  <c r="O59" i="4"/>
  <c r="P59" i="4" s="1"/>
  <c r="O43" i="4"/>
  <c r="P43" i="4" s="1"/>
  <c r="O27" i="4"/>
  <c r="P27" i="4" s="1"/>
  <c r="O16" i="4"/>
  <c r="P16" i="4" s="1"/>
  <c r="O122" i="4"/>
  <c r="P122" i="4" s="1"/>
  <c r="O106" i="4"/>
  <c r="P106" i="4" s="1"/>
  <c r="O90" i="4"/>
  <c r="P90" i="4" s="1"/>
  <c r="O74" i="4"/>
  <c r="P74" i="4" s="1"/>
  <c r="O58" i="4"/>
  <c r="P58" i="4" s="1"/>
  <c r="O42" i="4"/>
  <c r="P42" i="4" s="1"/>
  <c r="O26" i="4"/>
  <c r="P26" i="4" s="1"/>
  <c r="O126" i="4"/>
  <c r="P126" i="4" s="1"/>
  <c r="O137" i="4"/>
  <c r="P137" i="4" s="1"/>
  <c r="O121" i="4"/>
  <c r="P121" i="4" s="1"/>
  <c r="O105" i="4"/>
  <c r="P105" i="4" s="1"/>
  <c r="O89" i="4"/>
  <c r="P89" i="4" s="1"/>
  <c r="O73" i="4"/>
  <c r="P73" i="4" s="1"/>
  <c r="O57" i="4"/>
  <c r="P57" i="4" s="1"/>
  <c r="O41" i="4"/>
  <c r="P41" i="4" s="1"/>
  <c r="O25" i="4"/>
  <c r="P25" i="4" s="1"/>
  <c r="O110" i="4"/>
  <c r="P110" i="4" s="1"/>
  <c r="O136" i="4"/>
  <c r="P136" i="4" s="1"/>
  <c r="O120" i="4"/>
  <c r="P120" i="4" s="1"/>
  <c r="O104" i="4"/>
  <c r="P104" i="4" s="1"/>
  <c r="O88" i="4"/>
  <c r="P88" i="4" s="1"/>
  <c r="O72" i="4"/>
  <c r="P72" i="4" s="1"/>
  <c r="O56" i="4"/>
  <c r="P56" i="4" s="1"/>
  <c r="O40" i="4"/>
  <c r="P40" i="4" s="1"/>
  <c r="O24" i="4"/>
  <c r="P24" i="4" s="1"/>
  <c r="O78" i="4"/>
  <c r="P78" i="4" s="1"/>
  <c r="O135" i="4"/>
  <c r="P135" i="4" s="1"/>
  <c r="O119" i="4"/>
  <c r="P119" i="4" s="1"/>
  <c r="O103" i="4"/>
  <c r="P103" i="4" s="1"/>
  <c r="O87" i="4"/>
  <c r="P87" i="4" s="1"/>
  <c r="O71" i="4"/>
  <c r="P71" i="4" s="1"/>
  <c r="O55" i="4"/>
  <c r="P55" i="4" s="1"/>
  <c r="O39" i="4"/>
  <c r="P39" i="4" s="1"/>
  <c r="O23" i="4"/>
  <c r="P23" i="4" s="1"/>
  <c r="O62" i="4"/>
  <c r="P62" i="4" s="1"/>
  <c r="O134" i="4"/>
  <c r="P134" i="4" s="1"/>
  <c r="O118" i="4"/>
  <c r="P118" i="4" s="1"/>
  <c r="O102" i="4"/>
  <c r="P102" i="4" s="1"/>
  <c r="O86" i="4"/>
  <c r="P86" i="4" s="1"/>
  <c r="O70" i="4"/>
  <c r="P70" i="4" s="1"/>
  <c r="O54" i="4"/>
  <c r="P54" i="4" s="1"/>
  <c r="O38" i="4"/>
  <c r="P38" i="4" s="1"/>
  <c r="O22" i="4"/>
  <c r="P22" i="4" s="1"/>
  <c r="O133" i="4"/>
  <c r="P133" i="4" s="1"/>
  <c r="O117" i="4"/>
  <c r="P117" i="4" s="1"/>
  <c r="O101" i="4"/>
  <c r="P101" i="4" s="1"/>
  <c r="O85" i="4"/>
  <c r="P85" i="4" s="1"/>
  <c r="O69" i="4"/>
  <c r="P69" i="4" s="1"/>
  <c r="O53" i="4"/>
  <c r="P53" i="4" s="1"/>
  <c r="O37" i="4"/>
  <c r="P37" i="4" s="1"/>
  <c r="O21" i="4"/>
  <c r="P21" i="4" s="1"/>
  <c r="O132" i="4"/>
  <c r="P132" i="4" s="1"/>
  <c r="O116" i="4"/>
  <c r="P116" i="4" s="1"/>
  <c r="O100" i="4"/>
  <c r="P100" i="4" s="1"/>
  <c r="O84" i="4"/>
  <c r="P84" i="4" s="1"/>
  <c r="O68" i="4"/>
  <c r="P68" i="4" s="1"/>
  <c r="O52" i="4"/>
  <c r="P52" i="4" s="1"/>
  <c r="O36" i="4"/>
  <c r="P36" i="4" s="1"/>
  <c r="O20" i="4"/>
  <c r="P20" i="4" s="1"/>
  <c r="O131" i="4"/>
  <c r="P131" i="4" s="1"/>
  <c r="O115" i="4"/>
  <c r="P115" i="4" s="1"/>
  <c r="O99" i="4"/>
  <c r="P99" i="4" s="1"/>
  <c r="O83" i="4"/>
  <c r="P83" i="4" s="1"/>
  <c r="O67" i="4"/>
  <c r="P67" i="4" s="1"/>
  <c r="O51" i="4"/>
  <c r="P51" i="4" s="1"/>
  <c r="O35" i="4"/>
  <c r="P35" i="4" s="1"/>
  <c r="O19" i="4"/>
  <c r="P19" i="4" s="1"/>
  <c r="O94" i="4"/>
  <c r="P94" i="4" s="1"/>
  <c r="O130" i="4"/>
  <c r="P130" i="4" s="1"/>
  <c r="O114" i="4"/>
  <c r="P114" i="4" s="1"/>
  <c r="O98" i="4"/>
  <c r="P98" i="4" s="1"/>
  <c r="O82" i="4"/>
  <c r="P82" i="4" s="1"/>
  <c r="O66" i="4"/>
  <c r="P66" i="4" s="1"/>
  <c r="O50" i="4"/>
  <c r="P50" i="4" s="1"/>
  <c r="O34" i="4"/>
  <c r="P34" i="4" s="1"/>
  <c r="O18" i="4"/>
  <c r="P18" i="4" s="1"/>
  <c r="O46" i="4"/>
  <c r="P46" i="4" s="1"/>
  <c r="O129" i="4"/>
  <c r="P129" i="4" s="1"/>
  <c r="O113" i="4"/>
  <c r="P113" i="4" s="1"/>
  <c r="O97" i="4"/>
  <c r="P97" i="4" s="1"/>
  <c r="O81" i="4"/>
  <c r="P81" i="4" s="1"/>
  <c r="O65" i="4"/>
  <c r="P65" i="4" s="1"/>
  <c r="O49" i="4"/>
  <c r="P49" i="4" s="1"/>
  <c r="O33" i="4"/>
  <c r="P33" i="4" s="1"/>
  <c r="O17" i="4"/>
  <c r="P17" i="4" s="1"/>
  <c r="L134" i="2"/>
  <c r="M134" i="2" s="1"/>
  <c r="L118" i="2"/>
  <c r="M118" i="2" s="1"/>
  <c r="L102" i="2"/>
  <c r="M102" i="2" s="1"/>
  <c r="L86" i="2"/>
  <c r="M86" i="2" s="1"/>
  <c r="L70" i="2"/>
  <c r="M70" i="2" s="1"/>
  <c r="L54" i="2"/>
  <c r="M54" i="2" s="1"/>
  <c r="L38" i="2"/>
  <c r="M38" i="2" s="1"/>
  <c r="L22" i="2"/>
  <c r="M22" i="2" s="1"/>
  <c r="L53" i="2"/>
  <c r="M53" i="2" s="1"/>
  <c r="L132" i="2"/>
  <c r="M132" i="2" s="1"/>
  <c r="L116" i="2"/>
  <c r="M116" i="2" s="1"/>
  <c r="L100" i="2"/>
  <c r="M100" i="2" s="1"/>
  <c r="L84" i="2"/>
  <c r="M84" i="2" s="1"/>
  <c r="L68" i="2"/>
  <c r="M68" i="2" s="1"/>
  <c r="L52" i="2"/>
  <c r="M52" i="2" s="1"/>
  <c r="L36" i="2"/>
  <c r="M36" i="2" s="1"/>
  <c r="L131" i="2"/>
  <c r="M131" i="2" s="1"/>
  <c r="L115" i="2"/>
  <c r="M115" i="2" s="1"/>
  <c r="L83" i="2"/>
  <c r="M83" i="2" s="1"/>
  <c r="L67" i="2"/>
  <c r="M67" i="2" s="1"/>
  <c r="L51" i="2"/>
  <c r="M51" i="2" s="1"/>
  <c r="L35" i="2"/>
  <c r="M35" i="2" s="1"/>
  <c r="L69" i="2"/>
  <c r="M69" i="2" s="1"/>
  <c r="L114" i="2"/>
  <c r="M114" i="2" s="1"/>
  <c r="L82" i="2"/>
  <c r="M82" i="2" s="1"/>
  <c r="L66" i="2"/>
  <c r="M66" i="2" s="1"/>
  <c r="L50" i="2"/>
  <c r="M50" i="2" s="1"/>
  <c r="L101" i="2"/>
  <c r="M101" i="2" s="1"/>
  <c r="L129" i="2"/>
  <c r="M129" i="2" s="1"/>
  <c r="L113" i="2"/>
  <c r="M113" i="2" s="1"/>
  <c r="L81" i="2"/>
  <c r="M81" i="2" s="1"/>
  <c r="L65" i="2"/>
  <c r="M65" i="2" s="1"/>
  <c r="L49" i="2"/>
  <c r="M49" i="2" s="1"/>
  <c r="L33" i="2"/>
  <c r="M33" i="2" s="1"/>
  <c r="L17" i="2"/>
  <c r="M17" i="2" s="1"/>
  <c r="L128" i="2"/>
  <c r="M128" i="2" s="1"/>
  <c r="L112" i="2"/>
  <c r="M112" i="2" s="1"/>
  <c r="L96" i="2"/>
  <c r="M96" i="2" s="1"/>
  <c r="L80" i="2"/>
  <c r="M80" i="2" s="1"/>
  <c r="L64" i="2"/>
  <c r="M64" i="2" s="1"/>
  <c r="L48" i="2"/>
  <c r="M48" i="2" s="1"/>
  <c r="L32" i="2"/>
  <c r="M32" i="2" s="1"/>
  <c r="L127" i="2"/>
  <c r="M127" i="2" s="1"/>
  <c r="L111" i="2"/>
  <c r="M111" i="2" s="1"/>
  <c r="L95" i="2"/>
  <c r="M95" i="2" s="1"/>
  <c r="L79" i="2"/>
  <c r="M79" i="2" s="1"/>
  <c r="L63" i="2"/>
  <c r="M63" i="2" s="1"/>
  <c r="L47" i="2"/>
  <c r="M47" i="2" s="1"/>
  <c r="L31" i="2"/>
  <c r="M31" i="2" s="1"/>
  <c r="L85" i="2"/>
  <c r="M85" i="2" s="1"/>
  <c r="L126" i="2"/>
  <c r="M126" i="2" s="1"/>
  <c r="L110" i="2"/>
  <c r="M110" i="2" s="1"/>
  <c r="L94" i="2"/>
  <c r="M94" i="2" s="1"/>
  <c r="L78" i="2"/>
  <c r="M78" i="2" s="1"/>
  <c r="L62" i="2"/>
  <c r="M62" i="2" s="1"/>
  <c r="L46" i="2"/>
  <c r="M46" i="2" s="1"/>
  <c r="L30" i="2"/>
  <c r="M30" i="2" s="1"/>
  <c r="L117" i="2"/>
  <c r="M117" i="2" s="1"/>
  <c r="L125" i="2"/>
  <c r="M125" i="2" s="1"/>
  <c r="L109" i="2"/>
  <c r="M109" i="2" s="1"/>
  <c r="L93" i="2"/>
  <c r="M93" i="2" s="1"/>
  <c r="L77" i="2"/>
  <c r="M77" i="2" s="1"/>
  <c r="L61" i="2"/>
  <c r="M61" i="2" s="1"/>
  <c r="L45" i="2"/>
  <c r="M45" i="2" s="1"/>
  <c r="L29" i="2"/>
  <c r="M29" i="2" s="1"/>
  <c r="L124" i="2"/>
  <c r="M124" i="2" s="1"/>
  <c r="L108" i="2"/>
  <c r="M108" i="2" s="1"/>
  <c r="L92" i="2"/>
  <c r="M92" i="2" s="1"/>
  <c r="L76" i="2"/>
  <c r="M76" i="2" s="1"/>
  <c r="L60" i="2"/>
  <c r="M60" i="2" s="1"/>
  <c r="L44" i="2"/>
  <c r="M44" i="2" s="1"/>
  <c r="L28" i="2"/>
  <c r="M28" i="2" s="1"/>
  <c r="L123" i="2"/>
  <c r="M123" i="2" s="1"/>
  <c r="L107" i="2"/>
  <c r="M107" i="2" s="1"/>
  <c r="L91" i="2"/>
  <c r="M91" i="2" s="1"/>
  <c r="L75" i="2"/>
  <c r="M75" i="2" s="1"/>
  <c r="L59" i="2"/>
  <c r="M59" i="2" s="1"/>
  <c r="L43" i="2"/>
  <c r="M43" i="2" s="1"/>
  <c r="L27" i="2"/>
  <c r="M27" i="2" s="1"/>
  <c r="L37" i="2"/>
  <c r="M37" i="2" s="1"/>
  <c r="L122" i="2"/>
  <c r="M122" i="2" s="1"/>
  <c r="L106" i="2"/>
  <c r="M106" i="2" s="1"/>
  <c r="L90" i="2"/>
  <c r="M90" i="2" s="1"/>
  <c r="L74" i="2"/>
  <c r="M74" i="2" s="1"/>
  <c r="L58" i="2"/>
  <c r="M58" i="2" s="1"/>
  <c r="L42" i="2"/>
  <c r="M42" i="2" s="1"/>
  <c r="L26" i="2"/>
  <c r="M26" i="2" s="1"/>
  <c r="L137" i="2"/>
  <c r="M137" i="2" s="1"/>
  <c r="L121" i="2"/>
  <c r="M121" i="2" s="1"/>
  <c r="L105" i="2"/>
  <c r="M105" i="2" s="1"/>
  <c r="L89" i="2"/>
  <c r="M89" i="2" s="1"/>
  <c r="L73" i="2"/>
  <c r="M73" i="2" s="1"/>
  <c r="L57" i="2"/>
  <c r="M57" i="2" s="1"/>
  <c r="L41" i="2"/>
  <c r="M41" i="2" s="1"/>
  <c r="L25" i="2"/>
  <c r="M25" i="2" s="1"/>
  <c r="L136" i="2"/>
  <c r="M136" i="2" s="1"/>
  <c r="L120" i="2"/>
  <c r="M120" i="2" s="1"/>
  <c r="L104" i="2"/>
  <c r="M104" i="2" s="1"/>
  <c r="L88" i="2"/>
  <c r="M88" i="2" s="1"/>
  <c r="L72" i="2"/>
  <c r="M72" i="2" s="1"/>
  <c r="L56" i="2"/>
  <c r="M56" i="2" s="1"/>
  <c r="L40" i="2"/>
  <c r="M40" i="2" s="1"/>
  <c r="L24" i="2"/>
  <c r="M24" i="2" s="1"/>
  <c r="L133" i="2"/>
  <c r="M133" i="2" s="1"/>
  <c r="L135" i="2"/>
  <c r="M135" i="2" s="1"/>
  <c r="L119" i="2"/>
  <c r="M119" i="2" s="1"/>
  <c r="L103" i="2"/>
  <c r="M103" i="2" s="1"/>
  <c r="L87" i="2"/>
  <c r="M87" i="2" s="1"/>
  <c r="L71" i="2"/>
  <c r="M71" i="2" s="1"/>
  <c r="L55" i="2"/>
  <c r="M55" i="2" s="1"/>
  <c r="L39" i="2"/>
  <c r="M39" i="2" s="1"/>
  <c r="L23" i="2"/>
  <c r="M23" i="2" s="1"/>
  <c r="N6" i="4" l="1"/>
  <c r="L6" i="2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C22" i="1" l="1"/>
  <c r="E22" i="1" s="1"/>
  <c r="K22" i="1" s="1"/>
  <c r="L22" i="1" s="1"/>
  <c r="C23" i="1"/>
  <c r="E23" i="1" s="1"/>
  <c r="K23" i="1" s="1"/>
  <c r="L23" i="1" s="1"/>
  <c r="C24" i="1"/>
  <c r="E24" i="1" s="1"/>
  <c r="K24" i="1" s="1"/>
  <c r="L24" i="1" s="1"/>
  <c r="C25" i="1"/>
  <c r="E25" i="1" s="1"/>
  <c r="K25" i="1" s="1"/>
  <c r="L25" i="1" s="1"/>
  <c r="C26" i="1"/>
  <c r="E26" i="1" s="1"/>
  <c r="K26" i="1" s="1"/>
  <c r="L26" i="1" s="1"/>
  <c r="C27" i="1"/>
  <c r="E27" i="1" s="1"/>
  <c r="K27" i="1" s="1"/>
  <c r="L27" i="1" s="1"/>
  <c r="C28" i="1"/>
  <c r="E28" i="1" s="1"/>
  <c r="K28" i="1" s="1"/>
  <c r="L28" i="1" s="1"/>
  <c r="C29" i="1"/>
  <c r="E29" i="1" s="1"/>
  <c r="K29" i="1" s="1"/>
  <c r="L29" i="1" s="1"/>
  <c r="C30" i="1"/>
  <c r="E30" i="1" s="1"/>
  <c r="K30" i="1" s="1"/>
  <c r="L30" i="1" s="1"/>
  <c r="C31" i="1"/>
  <c r="E31" i="1" s="1"/>
  <c r="K31" i="1" s="1"/>
  <c r="L31" i="1" s="1"/>
  <c r="C32" i="1"/>
  <c r="E32" i="1" s="1"/>
  <c r="K32" i="1" s="1"/>
  <c r="L32" i="1" s="1"/>
  <c r="C33" i="1"/>
  <c r="E33" i="1" s="1"/>
  <c r="K33" i="1" s="1"/>
  <c r="L33" i="1" s="1"/>
  <c r="C34" i="1"/>
  <c r="E34" i="1" s="1"/>
  <c r="K34" i="1" s="1"/>
  <c r="L34" i="1" s="1"/>
  <c r="C35" i="1"/>
  <c r="E35" i="1" s="1"/>
  <c r="K35" i="1" s="1"/>
  <c r="L35" i="1" s="1"/>
  <c r="C36" i="1"/>
  <c r="E36" i="1" s="1"/>
  <c r="K36" i="1" s="1"/>
  <c r="L36" i="1" s="1"/>
  <c r="C37" i="1"/>
  <c r="E37" i="1" s="1"/>
  <c r="K37" i="1" s="1"/>
  <c r="L37" i="1" s="1"/>
  <c r="C38" i="1"/>
  <c r="E38" i="1" s="1"/>
  <c r="K38" i="1" s="1"/>
  <c r="L38" i="1" s="1"/>
  <c r="C39" i="1"/>
  <c r="E39" i="1" s="1"/>
  <c r="K39" i="1" s="1"/>
  <c r="L39" i="1" s="1"/>
  <c r="C40" i="1"/>
  <c r="E40" i="1" s="1"/>
  <c r="K40" i="1" s="1"/>
  <c r="L40" i="1" s="1"/>
  <c r="C41" i="1"/>
  <c r="E41" i="1" s="1"/>
  <c r="K41" i="1" s="1"/>
  <c r="L41" i="1" s="1"/>
  <c r="C42" i="1"/>
  <c r="E42" i="1" s="1"/>
  <c r="K42" i="1" s="1"/>
  <c r="L42" i="1" s="1"/>
  <c r="C43" i="1"/>
  <c r="E43" i="1" s="1"/>
  <c r="K43" i="1" s="1"/>
  <c r="L43" i="1" s="1"/>
  <c r="C44" i="1"/>
  <c r="E44" i="1" s="1"/>
  <c r="K44" i="1" s="1"/>
  <c r="L44" i="1" s="1"/>
  <c r="C45" i="1"/>
  <c r="E45" i="1" s="1"/>
  <c r="K45" i="1" s="1"/>
  <c r="L45" i="1" s="1"/>
  <c r="C46" i="1"/>
  <c r="E46" i="1" s="1"/>
  <c r="K46" i="1" s="1"/>
  <c r="L46" i="1" s="1"/>
  <c r="C47" i="1"/>
  <c r="E47" i="1" s="1"/>
  <c r="K47" i="1" s="1"/>
  <c r="L47" i="1" s="1"/>
  <c r="C48" i="1"/>
  <c r="E48" i="1" s="1"/>
  <c r="K48" i="1" s="1"/>
  <c r="L48" i="1" s="1"/>
  <c r="C49" i="1"/>
  <c r="E49" i="1" s="1"/>
  <c r="K49" i="1" s="1"/>
  <c r="L49" i="1" s="1"/>
  <c r="C50" i="1"/>
  <c r="E50" i="1" s="1"/>
  <c r="K50" i="1" s="1"/>
  <c r="L50" i="1" s="1"/>
  <c r="C51" i="1"/>
  <c r="E51" i="1" s="1"/>
  <c r="K51" i="1" s="1"/>
  <c r="L51" i="1" s="1"/>
  <c r="C52" i="1"/>
  <c r="E52" i="1" s="1"/>
  <c r="K52" i="1" s="1"/>
  <c r="L52" i="1" s="1"/>
  <c r="C53" i="1"/>
  <c r="E53" i="1" s="1"/>
  <c r="K53" i="1" s="1"/>
  <c r="L53" i="1" s="1"/>
  <c r="C54" i="1"/>
  <c r="E54" i="1" s="1"/>
  <c r="K54" i="1" s="1"/>
  <c r="L54" i="1" s="1"/>
  <c r="C55" i="1"/>
  <c r="E55" i="1" s="1"/>
  <c r="K55" i="1" s="1"/>
  <c r="L55" i="1" s="1"/>
  <c r="C56" i="1"/>
  <c r="E56" i="1" s="1"/>
  <c r="K56" i="1" s="1"/>
  <c r="L56" i="1" s="1"/>
  <c r="C57" i="1"/>
  <c r="E57" i="1" s="1"/>
  <c r="K57" i="1" s="1"/>
  <c r="L57" i="1" s="1"/>
  <c r="C58" i="1"/>
  <c r="E58" i="1" s="1"/>
  <c r="K58" i="1" s="1"/>
  <c r="L58" i="1" s="1"/>
  <c r="C59" i="1"/>
  <c r="E59" i="1" s="1"/>
  <c r="K59" i="1" s="1"/>
  <c r="L59" i="1" s="1"/>
  <c r="C60" i="1"/>
  <c r="E60" i="1" s="1"/>
  <c r="K60" i="1" s="1"/>
  <c r="L60" i="1" s="1"/>
  <c r="C61" i="1"/>
  <c r="E61" i="1" s="1"/>
  <c r="K61" i="1" s="1"/>
  <c r="L61" i="1" s="1"/>
  <c r="C62" i="1"/>
  <c r="E62" i="1" s="1"/>
  <c r="K62" i="1" s="1"/>
  <c r="L62" i="1" s="1"/>
  <c r="C63" i="1"/>
  <c r="E63" i="1" s="1"/>
  <c r="K63" i="1" s="1"/>
  <c r="L63" i="1" s="1"/>
  <c r="C64" i="1"/>
  <c r="E64" i="1" s="1"/>
  <c r="K64" i="1" s="1"/>
  <c r="L64" i="1" s="1"/>
  <c r="C65" i="1"/>
  <c r="E65" i="1" s="1"/>
  <c r="K65" i="1" s="1"/>
  <c r="L65" i="1" s="1"/>
  <c r="C66" i="1"/>
  <c r="E66" i="1" s="1"/>
  <c r="K66" i="1" s="1"/>
  <c r="L66" i="1" s="1"/>
  <c r="C67" i="1"/>
  <c r="E67" i="1" s="1"/>
  <c r="K67" i="1" s="1"/>
  <c r="L67" i="1" s="1"/>
  <c r="C68" i="1"/>
  <c r="E68" i="1" s="1"/>
  <c r="K68" i="1" s="1"/>
  <c r="L68" i="1" s="1"/>
  <c r="C69" i="1"/>
  <c r="E69" i="1" s="1"/>
  <c r="K69" i="1" s="1"/>
  <c r="L69" i="1" s="1"/>
  <c r="C70" i="1"/>
  <c r="E70" i="1" s="1"/>
  <c r="K70" i="1" s="1"/>
  <c r="L70" i="1" s="1"/>
  <c r="C71" i="1"/>
  <c r="E71" i="1" s="1"/>
  <c r="K71" i="1" s="1"/>
  <c r="L71" i="1" s="1"/>
  <c r="C72" i="1"/>
  <c r="E72" i="1" s="1"/>
  <c r="K72" i="1" s="1"/>
  <c r="L72" i="1" s="1"/>
  <c r="C73" i="1"/>
  <c r="E73" i="1" s="1"/>
  <c r="K73" i="1" s="1"/>
  <c r="L73" i="1" s="1"/>
  <c r="C74" i="1"/>
  <c r="E74" i="1" s="1"/>
  <c r="K74" i="1" s="1"/>
  <c r="L74" i="1" s="1"/>
  <c r="C75" i="1"/>
  <c r="E75" i="1" s="1"/>
  <c r="K75" i="1" s="1"/>
  <c r="L75" i="1" s="1"/>
  <c r="C76" i="1"/>
  <c r="E76" i="1" s="1"/>
  <c r="K76" i="1" s="1"/>
  <c r="L76" i="1" s="1"/>
  <c r="C77" i="1"/>
  <c r="E77" i="1" s="1"/>
  <c r="K77" i="1" s="1"/>
  <c r="L77" i="1" s="1"/>
  <c r="C78" i="1"/>
  <c r="E78" i="1" s="1"/>
  <c r="K78" i="1" s="1"/>
  <c r="L78" i="1" s="1"/>
  <c r="C79" i="1"/>
  <c r="E79" i="1" s="1"/>
  <c r="K79" i="1" s="1"/>
  <c r="L79" i="1" s="1"/>
  <c r="C80" i="1"/>
  <c r="E80" i="1" s="1"/>
  <c r="K80" i="1" s="1"/>
  <c r="L80" i="1" s="1"/>
  <c r="C81" i="1"/>
  <c r="E81" i="1" s="1"/>
  <c r="K81" i="1" s="1"/>
  <c r="L81" i="1" s="1"/>
  <c r="C82" i="1"/>
  <c r="E82" i="1" s="1"/>
  <c r="K82" i="1" s="1"/>
  <c r="L82" i="1" s="1"/>
  <c r="C83" i="1"/>
  <c r="E83" i="1" s="1"/>
  <c r="K83" i="1" s="1"/>
  <c r="L83" i="1" s="1"/>
  <c r="C84" i="1"/>
  <c r="E84" i="1" s="1"/>
  <c r="K84" i="1" s="1"/>
  <c r="L84" i="1" s="1"/>
  <c r="C85" i="1"/>
  <c r="E85" i="1" s="1"/>
  <c r="K85" i="1" s="1"/>
  <c r="L85" i="1" s="1"/>
  <c r="C86" i="1"/>
  <c r="E86" i="1" s="1"/>
  <c r="K86" i="1" s="1"/>
  <c r="L86" i="1" s="1"/>
  <c r="C87" i="1"/>
  <c r="E87" i="1" s="1"/>
  <c r="K87" i="1" s="1"/>
  <c r="L87" i="1" s="1"/>
  <c r="C88" i="1"/>
  <c r="E88" i="1" s="1"/>
  <c r="K88" i="1" s="1"/>
  <c r="L88" i="1" s="1"/>
  <c r="C89" i="1"/>
  <c r="E89" i="1" s="1"/>
  <c r="K89" i="1" s="1"/>
  <c r="L89" i="1" s="1"/>
  <c r="C90" i="1"/>
  <c r="E90" i="1" s="1"/>
  <c r="K90" i="1" s="1"/>
  <c r="L90" i="1" s="1"/>
  <c r="C91" i="1"/>
  <c r="E91" i="1" s="1"/>
  <c r="K91" i="1" s="1"/>
  <c r="L91" i="1" s="1"/>
  <c r="C92" i="1"/>
  <c r="E92" i="1" s="1"/>
  <c r="K92" i="1" s="1"/>
  <c r="L92" i="1" s="1"/>
  <c r="C93" i="1"/>
  <c r="E93" i="1" s="1"/>
  <c r="K93" i="1" s="1"/>
  <c r="L93" i="1" s="1"/>
  <c r="C94" i="1"/>
  <c r="E94" i="1" s="1"/>
  <c r="K94" i="1" s="1"/>
  <c r="L94" i="1" s="1"/>
  <c r="C95" i="1"/>
  <c r="E95" i="1" s="1"/>
  <c r="K95" i="1" s="1"/>
  <c r="L95" i="1" s="1"/>
  <c r="C96" i="1"/>
  <c r="E96" i="1" s="1"/>
  <c r="K96" i="1" s="1"/>
  <c r="L96" i="1" s="1"/>
  <c r="C97" i="1"/>
  <c r="E97" i="1" s="1"/>
  <c r="K97" i="1" s="1"/>
  <c r="L97" i="1" s="1"/>
  <c r="C98" i="1"/>
  <c r="E98" i="1" s="1"/>
  <c r="K98" i="1" s="1"/>
  <c r="L98" i="1" s="1"/>
  <c r="C99" i="1"/>
  <c r="E99" i="1" s="1"/>
  <c r="K99" i="1" s="1"/>
  <c r="L99" i="1" s="1"/>
  <c r="C100" i="1"/>
  <c r="E100" i="1" s="1"/>
  <c r="K100" i="1" s="1"/>
  <c r="L100" i="1" s="1"/>
  <c r="C101" i="1"/>
  <c r="E101" i="1" s="1"/>
  <c r="K101" i="1" s="1"/>
  <c r="L101" i="1" s="1"/>
  <c r="C102" i="1"/>
  <c r="E102" i="1" s="1"/>
  <c r="K102" i="1" s="1"/>
  <c r="L102" i="1" s="1"/>
  <c r="C103" i="1"/>
  <c r="E103" i="1" s="1"/>
  <c r="K103" i="1" s="1"/>
  <c r="L103" i="1" s="1"/>
  <c r="C104" i="1"/>
  <c r="E104" i="1" s="1"/>
  <c r="K104" i="1" s="1"/>
  <c r="L104" i="1" s="1"/>
  <c r="C105" i="1"/>
  <c r="E105" i="1" s="1"/>
  <c r="K105" i="1" s="1"/>
  <c r="L105" i="1" s="1"/>
  <c r="C106" i="1"/>
  <c r="E106" i="1" s="1"/>
  <c r="K106" i="1" s="1"/>
  <c r="L106" i="1" s="1"/>
  <c r="C107" i="1"/>
  <c r="E107" i="1" s="1"/>
  <c r="K107" i="1" s="1"/>
  <c r="L107" i="1" s="1"/>
  <c r="C108" i="1"/>
  <c r="E108" i="1" s="1"/>
  <c r="K108" i="1" s="1"/>
  <c r="L108" i="1" s="1"/>
  <c r="C109" i="1"/>
  <c r="E109" i="1" s="1"/>
  <c r="K109" i="1" s="1"/>
  <c r="L109" i="1" s="1"/>
  <c r="C110" i="1"/>
  <c r="E110" i="1" s="1"/>
  <c r="K110" i="1" s="1"/>
  <c r="L110" i="1" s="1"/>
  <c r="C111" i="1"/>
  <c r="E111" i="1" s="1"/>
  <c r="K111" i="1" s="1"/>
  <c r="L111" i="1" s="1"/>
  <c r="C112" i="1"/>
  <c r="E112" i="1" s="1"/>
  <c r="K112" i="1" s="1"/>
  <c r="L112" i="1" s="1"/>
  <c r="C113" i="1"/>
  <c r="E113" i="1" s="1"/>
  <c r="K113" i="1" s="1"/>
  <c r="L113" i="1" s="1"/>
  <c r="C114" i="1"/>
  <c r="E114" i="1" s="1"/>
  <c r="K114" i="1" s="1"/>
  <c r="L114" i="1" s="1"/>
  <c r="C115" i="1"/>
  <c r="E115" i="1" s="1"/>
  <c r="K115" i="1" s="1"/>
  <c r="L115" i="1" s="1"/>
  <c r="C116" i="1"/>
  <c r="E116" i="1" s="1"/>
  <c r="K116" i="1" s="1"/>
  <c r="L116" i="1" s="1"/>
  <c r="C117" i="1"/>
  <c r="E117" i="1" s="1"/>
  <c r="K117" i="1" s="1"/>
  <c r="L117" i="1" s="1"/>
  <c r="C118" i="1"/>
  <c r="E118" i="1" s="1"/>
  <c r="K118" i="1" s="1"/>
  <c r="L118" i="1" s="1"/>
  <c r="C119" i="1"/>
  <c r="E119" i="1" s="1"/>
  <c r="K119" i="1" s="1"/>
  <c r="L119" i="1" s="1"/>
  <c r="C120" i="1"/>
  <c r="E120" i="1" s="1"/>
  <c r="K120" i="1" s="1"/>
  <c r="L120" i="1" s="1"/>
  <c r="C121" i="1"/>
  <c r="E121" i="1" s="1"/>
  <c r="K121" i="1" s="1"/>
  <c r="L121" i="1" s="1"/>
  <c r="C122" i="1"/>
  <c r="E122" i="1" s="1"/>
  <c r="K122" i="1" s="1"/>
  <c r="L122" i="1" s="1"/>
  <c r="C123" i="1"/>
  <c r="E123" i="1" s="1"/>
  <c r="K123" i="1" s="1"/>
  <c r="L123" i="1" s="1"/>
  <c r="C124" i="1"/>
  <c r="E124" i="1" s="1"/>
  <c r="K124" i="1" s="1"/>
  <c r="L124" i="1" s="1"/>
  <c r="C125" i="1"/>
  <c r="E125" i="1" s="1"/>
  <c r="K125" i="1" s="1"/>
  <c r="L125" i="1" s="1"/>
  <c r="C126" i="1"/>
  <c r="E126" i="1" s="1"/>
  <c r="K126" i="1" s="1"/>
  <c r="L126" i="1" s="1"/>
  <c r="C127" i="1"/>
  <c r="E127" i="1" s="1"/>
  <c r="K127" i="1" s="1"/>
  <c r="L127" i="1" s="1"/>
  <c r="C128" i="1"/>
  <c r="E128" i="1" s="1"/>
  <c r="K128" i="1" s="1"/>
  <c r="L128" i="1" s="1"/>
  <c r="C129" i="1"/>
  <c r="E129" i="1" s="1"/>
  <c r="K129" i="1" s="1"/>
  <c r="L129" i="1" s="1"/>
  <c r="C130" i="1"/>
  <c r="E130" i="1" s="1"/>
  <c r="K130" i="1" s="1"/>
  <c r="L130" i="1" s="1"/>
  <c r="C131" i="1"/>
  <c r="E131" i="1" s="1"/>
  <c r="K131" i="1" s="1"/>
  <c r="L131" i="1" s="1"/>
  <c r="C132" i="1"/>
  <c r="E132" i="1" s="1"/>
  <c r="K132" i="1" s="1"/>
  <c r="L132" i="1" s="1"/>
  <c r="C133" i="1"/>
  <c r="E133" i="1" s="1"/>
  <c r="K133" i="1" s="1"/>
  <c r="L133" i="1" s="1"/>
  <c r="C134" i="1"/>
  <c r="E134" i="1" s="1"/>
  <c r="K134" i="1" s="1"/>
  <c r="L134" i="1" s="1"/>
  <c r="C135" i="1"/>
  <c r="E135" i="1" s="1"/>
  <c r="K135" i="1" s="1"/>
  <c r="L135" i="1" s="1"/>
  <c r="C136" i="1"/>
  <c r="E136" i="1" s="1"/>
  <c r="K136" i="1" s="1"/>
  <c r="L136" i="1" s="1"/>
  <c r="C137" i="1"/>
  <c r="E137" i="1" s="1"/>
  <c r="K137" i="1" s="1"/>
  <c r="L137" i="1" s="1"/>
  <c r="C18" i="1"/>
  <c r="E18" i="1" s="1"/>
  <c r="K18" i="1" s="1"/>
  <c r="L18" i="1" s="1"/>
  <c r="C17" i="1"/>
  <c r="E17" i="1" s="1"/>
  <c r="K17" i="1" s="1"/>
  <c r="L17" i="1" s="1"/>
  <c r="C19" i="1"/>
  <c r="E19" i="1" s="1"/>
  <c r="K19" i="1" s="1"/>
  <c r="L19" i="1" s="1"/>
  <c r="C20" i="1"/>
  <c r="E20" i="1" s="1"/>
  <c r="K20" i="1" s="1"/>
  <c r="L20" i="1" s="1"/>
  <c r="C21" i="1"/>
  <c r="E21" i="1" s="1"/>
  <c r="K21" i="1" s="1"/>
  <c r="L21" i="1" s="1"/>
  <c r="C16" i="1"/>
  <c r="B18" i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7" i="1"/>
  <c r="A136" i="1"/>
  <c r="A137" i="1" s="1"/>
  <c r="A131" i="1"/>
  <c r="A132" i="1" s="1"/>
  <c r="A133" i="1" s="1"/>
  <c r="A134" i="1" s="1"/>
  <c r="A135" i="1" s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8" i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7" i="1"/>
  <c r="E16" i="1" l="1"/>
  <c r="K16" i="1" s="1"/>
  <c r="L16" i="1" s="1"/>
  <c r="L6" i="1" s="1"/>
</calcChain>
</file>

<file path=xl/sharedStrings.xml><?xml version="1.0" encoding="utf-8"?>
<sst xmlns="http://schemas.openxmlformats.org/spreadsheetml/2006/main" count="281" uniqueCount="80">
  <si>
    <t>Линейная парная регрессия</t>
  </si>
  <si>
    <t>Вариант 2176</t>
  </si>
  <si>
    <t>Исходные данные для моделирования</t>
  </si>
  <si>
    <t>Параметры варианта исходных данных:</t>
  </si>
  <si>
    <t>Интервал наблюдения:</t>
  </si>
  <si>
    <t>Параметры зависимости: y=a+b*x+h*z</t>
  </si>
  <si>
    <t>a</t>
  </si>
  <si>
    <t>b</t>
  </si>
  <si>
    <t>h</t>
  </si>
  <si>
    <t>Мат. Ож:</t>
  </si>
  <si>
    <t>Вариант параметров:</t>
  </si>
  <si>
    <t>Составляющие</t>
  </si>
  <si>
    <t>i</t>
  </si>
  <si>
    <t>x</t>
  </si>
  <si>
    <t>a+bx</t>
  </si>
  <si>
    <t>z</t>
  </si>
  <si>
    <t>y</t>
  </si>
  <si>
    <t>Прогноз по мод</t>
  </si>
  <si>
    <t>y_прогн</t>
  </si>
  <si>
    <t>Невязка МНК</t>
  </si>
  <si>
    <t>Невязка</t>
  </si>
  <si>
    <t>Квадрат невязки</t>
  </si>
  <si>
    <t>МНК-оценки параметров модели</t>
  </si>
  <si>
    <t>Коэффициенты апроксимирующей модели</t>
  </si>
  <si>
    <t>Целевая функция апроксимации</t>
  </si>
  <si>
    <t>L</t>
  </si>
  <si>
    <t>Сумма кв. невязок</t>
  </si>
  <si>
    <t>Опция Регрессия надстройки Анализ Данных</t>
  </si>
  <si>
    <t>ВЫВОД ИТОГОВ</t>
  </si>
  <si>
    <t>Регрессионная статистика</t>
  </si>
  <si>
    <t>Множественный R</t>
  </si>
  <si>
    <t>R-квадрат</t>
  </si>
  <si>
    <t>Нормированный R-квадрат</t>
  </si>
  <si>
    <t>Стандартная ошибка</t>
  </si>
  <si>
    <t>Наблюдения</t>
  </si>
  <si>
    <t>Дисперсионный анализ</t>
  </si>
  <si>
    <t>Регрессия</t>
  </si>
  <si>
    <t>Остаток</t>
  </si>
  <si>
    <t>Итого</t>
  </si>
  <si>
    <t>Y-пересечение</t>
  </si>
  <si>
    <t>df</t>
  </si>
  <si>
    <t>SS</t>
  </si>
  <si>
    <t>MS</t>
  </si>
  <si>
    <t>F</t>
  </si>
  <si>
    <t>Значимость F</t>
  </si>
  <si>
    <t>Коэффициенты</t>
  </si>
  <si>
    <t>t-статистика</t>
  </si>
  <si>
    <t>P-Значение</t>
  </si>
  <si>
    <t>Нижние 95%</t>
  </si>
  <si>
    <t>Верхние 95%</t>
  </si>
  <si>
    <t>Нижние 95,0%</t>
  </si>
  <si>
    <t>Верхние 95,0%</t>
  </si>
  <si>
    <t>Переменная X 1</t>
  </si>
  <si>
    <t>Нелинейная парная регрессия</t>
  </si>
  <si>
    <t>c</t>
  </si>
  <si>
    <t>x^2</t>
  </si>
  <si>
    <t>a+b*x+c*x^2</t>
  </si>
  <si>
    <t>Параметры зависимости: y=a+b*x+c*x^2+h*z</t>
  </si>
  <si>
    <t>Переменная X 2</t>
  </si>
  <si>
    <t>Множественная нелинейная регрессия</t>
  </si>
  <si>
    <t>x1</t>
  </si>
  <si>
    <t>x1^2</t>
  </si>
  <si>
    <t>x2^2</t>
  </si>
  <si>
    <t>x1*x2</t>
  </si>
  <si>
    <t>Параметры зависимости: y=a0+a1*x1+a2*x2+a11*x1^2+a22*x2^2+a12*x1*x2+h*z</t>
  </si>
  <si>
    <t>y=a0+a1*x1+a2*x2+a11*x1^2+a22*x2^2+a12*x1*x2</t>
  </si>
  <si>
    <t>a0</t>
  </si>
  <si>
    <t>a1</t>
  </si>
  <si>
    <t>a2</t>
  </si>
  <si>
    <t>a11</t>
  </si>
  <si>
    <t>a22</t>
  </si>
  <si>
    <t>a12</t>
  </si>
  <si>
    <t>x2</t>
  </si>
  <si>
    <t>Полиномиальная аппроксимация</t>
  </si>
  <si>
    <t>Линейная аппроксимация</t>
  </si>
  <si>
    <t>Переменная X 3</t>
  </si>
  <si>
    <t>Переменная X 4</t>
  </si>
  <si>
    <t>Полиномиальная (полная квадратичная) аппроксимация</t>
  </si>
  <si>
    <t>Переменная X 5</t>
  </si>
  <si>
    <t>x2\x1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</si>
</sst>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" fontId="0" fillId="0" borderId="0" xfId="0" applyNumberFormat="1"/>
    <xf numFmtId="0" fontId="0" fillId="3" borderId="0" xfId="0" applyFill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025371828521432E-2"/>
          <c:y val="0.14393518518518519"/>
          <c:w val="0.87119685039370076"/>
          <c:h val="0.73106481481481478"/>
        </c:manualLayout>
      </c:layout>
      <c:scatterChart>
        <c:scatterStyle val="lineMarker"/>
        <c:varyColors val="0"/>
        <c:ser>
          <c:idx val="0"/>
          <c:order val="0"/>
          <c:tx>
            <c:v>Наблюдения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908617672790903"/>
                  <c:y val="-0.136574803149606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'Линейная парная регрессия'!$B$16:$B$137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'Линейная парная регрессия'!$E$16:$E$137</c:f>
              <c:numCache>
                <c:formatCode>General</c:formatCode>
                <c:ptCount val="122"/>
                <c:pt idx="0">
                  <c:v>3.8049835234624041</c:v>
                </c:pt>
                <c:pt idx="1">
                  <c:v>-31.485497700628493</c:v>
                </c:pt>
                <c:pt idx="2">
                  <c:v>-12.476466802696429</c:v>
                </c:pt>
                <c:pt idx="3">
                  <c:v>14.287565435787359</c:v>
                </c:pt>
                <c:pt idx="4">
                  <c:v>25.621777671167557</c:v>
                </c:pt>
                <c:pt idx="5">
                  <c:v>-4.4511498765750686</c:v>
                </c:pt>
                <c:pt idx="6">
                  <c:v>3.8290590521462455</c:v>
                </c:pt>
                <c:pt idx="7">
                  <c:v>-5.1665607637101214</c:v>
                </c:pt>
                <c:pt idx="8">
                  <c:v>22.268485075171615</c:v>
                </c:pt>
                <c:pt idx="9">
                  <c:v>35.73962642370072</c:v>
                </c:pt>
                <c:pt idx="10">
                  <c:v>27.849737886352834</c:v>
                </c:pt>
                <c:pt idx="11">
                  <c:v>28.24873368723896</c:v>
                </c:pt>
                <c:pt idx="12">
                  <c:v>30.188391050329695</c:v>
                </c:pt>
                <c:pt idx="13">
                  <c:v>1.8137417342917495</c:v>
                </c:pt>
                <c:pt idx="14">
                  <c:v>27.161851144868415</c:v>
                </c:pt>
                <c:pt idx="15">
                  <c:v>-2.8731566780701163</c:v>
                </c:pt>
                <c:pt idx="16">
                  <c:v>19.547525679849315</c:v>
                </c:pt>
                <c:pt idx="17">
                  <c:v>8.0380118614519613</c:v>
                </c:pt>
                <c:pt idx="18">
                  <c:v>23.364881063939993</c:v>
                </c:pt>
                <c:pt idx="19">
                  <c:v>2.7327501033560608</c:v>
                </c:pt>
                <c:pt idx="20">
                  <c:v>-14.575140665150947</c:v>
                </c:pt>
                <c:pt idx="21">
                  <c:v>19.505500196365706</c:v>
                </c:pt>
                <c:pt idx="22">
                  <c:v>-12.810340348950252</c:v>
                </c:pt>
                <c:pt idx="23">
                  <c:v>-8.111487695869382</c:v>
                </c:pt>
                <c:pt idx="24">
                  <c:v>26.079738442388724</c:v>
                </c:pt>
                <c:pt idx="25">
                  <c:v>39.88208892106492</c:v>
                </c:pt>
                <c:pt idx="26">
                  <c:v>25.033072866766808</c:v>
                </c:pt>
                <c:pt idx="27">
                  <c:v>7.5557202604188411</c:v>
                </c:pt>
                <c:pt idx="28">
                  <c:v>9.3280570276379269</c:v>
                </c:pt>
                <c:pt idx="29">
                  <c:v>10.336274134077049</c:v>
                </c:pt>
                <c:pt idx="30">
                  <c:v>9.613851401459657</c:v>
                </c:pt>
                <c:pt idx="31">
                  <c:v>5.3344764772066977</c:v>
                </c:pt>
                <c:pt idx="32">
                  <c:v>-3.5447873388703464</c:v>
                </c:pt>
                <c:pt idx="33">
                  <c:v>20.936529099192082</c:v>
                </c:pt>
                <c:pt idx="34">
                  <c:v>17.416019440531979</c:v>
                </c:pt>
                <c:pt idx="35">
                  <c:v>13.774658692568323</c:v>
                </c:pt>
                <c:pt idx="36">
                  <c:v>13.773151128513179</c:v>
                </c:pt>
                <c:pt idx="37">
                  <c:v>14.590448419078424</c:v>
                </c:pt>
                <c:pt idx="38">
                  <c:v>-10.442527046862931</c:v>
                </c:pt>
                <c:pt idx="39">
                  <c:v>-9.2786370934207056</c:v>
                </c:pt>
                <c:pt idx="40">
                  <c:v>10.40445981367408</c:v>
                </c:pt>
                <c:pt idx="41">
                  <c:v>20.392134572620893</c:v>
                </c:pt>
                <c:pt idx="42">
                  <c:v>-0.51890454405114106</c:v>
                </c:pt>
                <c:pt idx="43">
                  <c:v>24.165753950529837</c:v>
                </c:pt>
                <c:pt idx="44">
                  <c:v>-2.5778460571945878</c:v>
                </c:pt>
                <c:pt idx="45">
                  <c:v>17.439542761038567</c:v>
                </c:pt>
                <c:pt idx="46">
                  <c:v>22.366733813059909</c:v>
                </c:pt>
                <c:pt idx="47">
                  <c:v>-12.846677886248944</c:v>
                </c:pt>
                <c:pt idx="48">
                  <c:v>1.0995762016557613</c:v>
                </c:pt>
                <c:pt idx="49">
                  <c:v>8.7428036097892896</c:v>
                </c:pt>
                <c:pt idx="50">
                  <c:v>28.6311104653333</c:v>
                </c:pt>
                <c:pt idx="51">
                  <c:v>7.7327517532313195</c:v>
                </c:pt>
                <c:pt idx="52">
                  <c:v>3.4677428921200022</c:v>
                </c:pt>
                <c:pt idx="53">
                  <c:v>20.95552008059061</c:v>
                </c:pt>
                <c:pt idx="54">
                  <c:v>24.71863480696798</c:v>
                </c:pt>
                <c:pt idx="55">
                  <c:v>16.557977870238034</c:v>
                </c:pt>
                <c:pt idx="56">
                  <c:v>35.25295994600404</c:v>
                </c:pt>
                <c:pt idx="57">
                  <c:v>18.614336374870366</c:v>
                </c:pt>
                <c:pt idx="58">
                  <c:v>20.202526332728446</c:v>
                </c:pt>
                <c:pt idx="59">
                  <c:v>15.177634736436016</c:v>
                </c:pt>
                <c:pt idx="60">
                  <c:v>31.106891493511142</c:v>
                </c:pt>
                <c:pt idx="61">
                  <c:v>31.280160906937102</c:v>
                </c:pt>
                <c:pt idx="62">
                  <c:v>24.933773734972977</c:v>
                </c:pt>
                <c:pt idx="63">
                  <c:v>23.255992617323336</c:v>
                </c:pt>
                <c:pt idx="64">
                  <c:v>15.256976670106715</c:v>
                </c:pt>
                <c:pt idx="65">
                  <c:v>7.8948663129115957</c:v>
                </c:pt>
                <c:pt idx="66">
                  <c:v>13.323836919188782</c:v>
                </c:pt>
                <c:pt idx="67">
                  <c:v>20.212041148383616</c:v>
                </c:pt>
                <c:pt idx="68">
                  <c:v>3.3510473208196849</c:v>
                </c:pt>
                <c:pt idx="69">
                  <c:v>22.525181642087798</c:v>
                </c:pt>
                <c:pt idx="70">
                  <c:v>-12.256002901684766</c:v>
                </c:pt>
                <c:pt idx="71">
                  <c:v>16.30860122740653</c:v>
                </c:pt>
                <c:pt idx="72">
                  <c:v>17.551155247522853</c:v>
                </c:pt>
                <c:pt idx="73">
                  <c:v>46.794366033640877</c:v>
                </c:pt>
                <c:pt idx="74">
                  <c:v>50.293637228281632</c:v>
                </c:pt>
                <c:pt idx="75">
                  <c:v>1.0390237221392447</c:v>
                </c:pt>
                <c:pt idx="76">
                  <c:v>-10.382243592118506</c:v>
                </c:pt>
                <c:pt idx="77">
                  <c:v>19.614608436631773</c:v>
                </c:pt>
                <c:pt idx="78">
                  <c:v>11.254497088377214</c:v>
                </c:pt>
                <c:pt idx="79">
                  <c:v>9.7137098984238968</c:v>
                </c:pt>
                <c:pt idx="80">
                  <c:v>42.755286518632701</c:v>
                </c:pt>
                <c:pt idx="81">
                  <c:v>0.5081531140525648</c:v>
                </c:pt>
                <c:pt idx="82">
                  <c:v>18.040258567121949</c:v>
                </c:pt>
                <c:pt idx="83">
                  <c:v>27.538636756910613</c:v>
                </c:pt>
                <c:pt idx="84">
                  <c:v>28.86049266045784</c:v>
                </c:pt>
                <c:pt idx="85">
                  <c:v>25.836902999811173</c:v>
                </c:pt>
                <c:pt idx="86">
                  <c:v>33.553995662829408</c:v>
                </c:pt>
                <c:pt idx="87">
                  <c:v>11.271255680056232</c:v>
                </c:pt>
                <c:pt idx="88">
                  <c:v>17.672137534816393</c:v>
                </c:pt>
                <c:pt idx="89">
                  <c:v>23.887384341116309</c:v>
                </c:pt>
                <c:pt idx="90">
                  <c:v>26.499999127101962</c:v>
                </c:pt>
                <c:pt idx="91">
                  <c:v>29.514149933730394</c:v>
                </c:pt>
                <c:pt idx="92">
                  <c:v>36.435596564845994</c:v>
                </c:pt>
                <c:pt idx="93">
                  <c:v>39.289549062720575</c:v>
                </c:pt>
                <c:pt idx="94">
                  <c:v>27.227837794052313</c:v>
                </c:pt>
                <c:pt idx="95">
                  <c:v>12.21339940803975</c:v>
                </c:pt>
                <c:pt idx="96">
                  <c:v>37.81235303740457</c:v>
                </c:pt>
                <c:pt idx="97">
                  <c:v>11.595255576319282</c:v>
                </c:pt>
                <c:pt idx="98">
                  <c:v>-4.8468748753750006</c:v>
                </c:pt>
                <c:pt idx="99">
                  <c:v>20.611698323037061</c:v>
                </c:pt>
                <c:pt idx="100">
                  <c:v>49.942183702046201</c:v>
                </c:pt>
                <c:pt idx="101">
                  <c:v>28.381087821271635</c:v>
                </c:pt>
                <c:pt idx="102">
                  <c:v>40.017959293874739</c:v>
                </c:pt>
                <c:pt idx="103">
                  <c:v>3.2198159316878758</c:v>
                </c:pt>
                <c:pt idx="104">
                  <c:v>43.828663160358609</c:v>
                </c:pt>
                <c:pt idx="105">
                  <c:v>4.1317641273447663</c:v>
                </c:pt>
                <c:pt idx="106">
                  <c:v>43.113085225977727</c:v>
                </c:pt>
                <c:pt idx="107">
                  <c:v>35.109969028181567</c:v>
                </c:pt>
                <c:pt idx="108">
                  <c:v>11.25409957305915</c:v>
                </c:pt>
                <c:pt idx="109">
                  <c:v>38.110068541204122</c:v>
                </c:pt>
                <c:pt idx="110">
                  <c:v>12.524986741671405</c:v>
                </c:pt>
                <c:pt idx="111">
                  <c:v>46.959737392127522</c:v>
                </c:pt>
                <c:pt idx="112">
                  <c:v>47.460723129651335</c:v>
                </c:pt>
                <c:pt idx="113">
                  <c:v>34.992434050738787</c:v>
                </c:pt>
                <c:pt idx="114">
                  <c:v>38.213799372766438</c:v>
                </c:pt>
                <c:pt idx="115">
                  <c:v>47.603612038876904</c:v>
                </c:pt>
                <c:pt idx="116">
                  <c:v>25.68959088599696</c:v>
                </c:pt>
                <c:pt idx="117">
                  <c:v>23.206687601771975</c:v>
                </c:pt>
                <c:pt idx="118">
                  <c:v>23.299592103838997</c:v>
                </c:pt>
                <c:pt idx="119">
                  <c:v>51.587581179944088</c:v>
                </c:pt>
                <c:pt idx="120">
                  <c:v>48.46030073797489</c:v>
                </c:pt>
                <c:pt idx="121">
                  <c:v>41.951346223588736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17-460D-9683-AD87359D296B}"/>
            </c:ext>
          </c:extLst>
        </c:ser>
        <c:ser>
          <c:idx val="1"/>
          <c:order val="1"/>
          <c:tx>
            <c:v>Прогноз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'Линейная парная регрессия'!$B$16:$B$137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'Линейная парная регрессия'!$G$16:$G$137</c:f>
              <c:numCache>
                <c:formatCode>General</c:formatCode>
                <c:ptCount val="122"/>
                <c:pt idx="0">
                  <c:v>4.2546570531155243</c:v>
                </c:pt>
                <c:pt idx="1">
                  <c:v>4.485216631639048</c:v>
                </c:pt>
                <c:pt idx="2">
                  <c:v>4.7157762101625718</c:v>
                </c:pt>
                <c:pt idx="3">
                  <c:v>4.9463357886860964</c:v>
                </c:pt>
                <c:pt idx="4">
                  <c:v>5.1768953672096201</c:v>
                </c:pt>
                <c:pt idx="5">
                  <c:v>5.4074549457331438</c:v>
                </c:pt>
                <c:pt idx="6">
                  <c:v>5.6380145242566675</c:v>
                </c:pt>
                <c:pt idx="7">
                  <c:v>5.8685741027801912</c:v>
                </c:pt>
                <c:pt idx="8">
                  <c:v>6.0991336813037158</c:v>
                </c:pt>
                <c:pt idx="9">
                  <c:v>6.3296932598272395</c:v>
                </c:pt>
                <c:pt idx="10">
                  <c:v>6.5602528383507632</c:v>
                </c:pt>
                <c:pt idx="11">
                  <c:v>6.7908124168742869</c:v>
                </c:pt>
                <c:pt idx="12">
                  <c:v>7.0213719953978107</c:v>
                </c:pt>
                <c:pt idx="13">
                  <c:v>7.2519315739213344</c:v>
                </c:pt>
                <c:pt idx="14">
                  <c:v>7.4824911524448581</c:v>
                </c:pt>
                <c:pt idx="15">
                  <c:v>7.7130507309683818</c:v>
                </c:pt>
                <c:pt idx="16">
                  <c:v>7.9436103094919055</c:v>
                </c:pt>
                <c:pt idx="17">
                  <c:v>8.174169888015431</c:v>
                </c:pt>
                <c:pt idx="18">
                  <c:v>8.4047294665389529</c:v>
                </c:pt>
                <c:pt idx="19">
                  <c:v>8.6352890450624784</c:v>
                </c:pt>
                <c:pt idx="20">
                  <c:v>8.8658486235860003</c:v>
                </c:pt>
                <c:pt idx="21">
                  <c:v>9.0964082021095258</c:v>
                </c:pt>
                <c:pt idx="22">
                  <c:v>9.3269677806330495</c:v>
                </c:pt>
                <c:pt idx="23">
                  <c:v>9.5575273591565733</c:v>
                </c:pt>
                <c:pt idx="24">
                  <c:v>9.788086937680097</c:v>
                </c:pt>
                <c:pt idx="25">
                  <c:v>10.018646516203621</c:v>
                </c:pt>
                <c:pt idx="26">
                  <c:v>10.249206094727144</c:v>
                </c:pt>
                <c:pt idx="27">
                  <c:v>10.479765673250668</c:v>
                </c:pt>
                <c:pt idx="28">
                  <c:v>10.710325251774194</c:v>
                </c:pt>
                <c:pt idx="29">
                  <c:v>10.940884830297716</c:v>
                </c:pt>
                <c:pt idx="30">
                  <c:v>11.171444408821241</c:v>
                </c:pt>
                <c:pt idx="31">
                  <c:v>11.402003987344763</c:v>
                </c:pt>
                <c:pt idx="32">
                  <c:v>11.632563565868288</c:v>
                </c:pt>
                <c:pt idx="33">
                  <c:v>11.86312314439181</c:v>
                </c:pt>
                <c:pt idx="34">
                  <c:v>12.093682722915336</c:v>
                </c:pt>
                <c:pt idx="35">
                  <c:v>12.32424230143886</c:v>
                </c:pt>
                <c:pt idx="36">
                  <c:v>12.554801879962383</c:v>
                </c:pt>
                <c:pt idx="37">
                  <c:v>12.785361458485907</c:v>
                </c:pt>
                <c:pt idx="38">
                  <c:v>13.015921037009431</c:v>
                </c:pt>
                <c:pt idx="39">
                  <c:v>13.246480615532954</c:v>
                </c:pt>
                <c:pt idx="40">
                  <c:v>13.477040194056478</c:v>
                </c:pt>
                <c:pt idx="41">
                  <c:v>13.707599772580002</c:v>
                </c:pt>
                <c:pt idx="42">
                  <c:v>13.938159351103526</c:v>
                </c:pt>
                <c:pt idx="43">
                  <c:v>14.168718929627049</c:v>
                </c:pt>
                <c:pt idx="44">
                  <c:v>14.399278508150575</c:v>
                </c:pt>
                <c:pt idx="45">
                  <c:v>14.629838086674098</c:v>
                </c:pt>
                <c:pt idx="46">
                  <c:v>14.860397665197622</c:v>
                </c:pt>
                <c:pt idx="47">
                  <c:v>15.090957243721146</c:v>
                </c:pt>
                <c:pt idx="48">
                  <c:v>15.32151682224467</c:v>
                </c:pt>
                <c:pt idx="49">
                  <c:v>15.552076400768193</c:v>
                </c:pt>
                <c:pt idx="50">
                  <c:v>15.782635979291717</c:v>
                </c:pt>
                <c:pt idx="51">
                  <c:v>16.013195557815241</c:v>
                </c:pt>
                <c:pt idx="52">
                  <c:v>16.243755136338763</c:v>
                </c:pt>
                <c:pt idx="53">
                  <c:v>16.474314714862288</c:v>
                </c:pt>
                <c:pt idx="54">
                  <c:v>16.704874293385814</c:v>
                </c:pt>
                <c:pt idx="55">
                  <c:v>16.935433871909336</c:v>
                </c:pt>
                <c:pt idx="56">
                  <c:v>17.165993450432858</c:v>
                </c:pt>
                <c:pt idx="57">
                  <c:v>17.396553028956383</c:v>
                </c:pt>
                <c:pt idx="58">
                  <c:v>17.627112607479908</c:v>
                </c:pt>
                <c:pt idx="59">
                  <c:v>17.857672186003434</c:v>
                </c:pt>
                <c:pt idx="60">
                  <c:v>18.088231764526956</c:v>
                </c:pt>
                <c:pt idx="61">
                  <c:v>18.318791343050478</c:v>
                </c:pt>
                <c:pt idx="62">
                  <c:v>18.549350921574003</c:v>
                </c:pt>
                <c:pt idx="63">
                  <c:v>18.779910500097529</c:v>
                </c:pt>
                <c:pt idx="64">
                  <c:v>19.010470078621051</c:v>
                </c:pt>
                <c:pt idx="65">
                  <c:v>19.241029657144573</c:v>
                </c:pt>
                <c:pt idx="66">
                  <c:v>19.471589235668098</c:v>
                </c:pt>
                <c:pt idx="67">
                  <c:v>19.702148814191624</c:v>
                </c:pt>
                <c:pt idx="68">
                  <c:v>19.932708392715146</c:v>
                </c:pt>
                <c:pt idx="69">
                  <c:v>20.163267971238671</c:v>
                </c:pt>
                <c:pt idx="70">
                  <c:v>20.393827549762193</c:v>
                </c:pt>
                <c:pt idx="71">
                  <c:v>20.624387128285719</c:v>
                </c:pt>
                <c:pt idx="72">
                  <c:v>20.85494670680924</c:v>
                </c:pt>
                <c:pt idx="73">
                  <c:v>21.085506285332766</c:v>
                </c:pt>
                <c:pt idx="74">
                  <c:v>21.316065863856288</c:v>
                </c:pt>
                <c:pt idx="75">
                  <c:v>21.546625442379813</c:v>
                </c:pt>
                <c:pt idx="76">
                  <c:v>21.777185020903339</c:v>
                </c:pt>
                <c:pt idx="77">
                  <c:v>22.007744599426861</c:v>
                </c:pt>
                <c:pt idx="78">
                  <c:v>22.238304177950386</c:v>
                </c:pt>
                <c:pt idx="79">
                  <c:v>22.468863756473908</c:v>
                </c:pt>
                <c:pt idx="80">
                  <c:v>22.699423334997434</c:v>
                </c:pt>
                <c:pt idx="81">
                  <c:v>22.929982913520956</c:v>
                </c:pt>
                <c:pt idx="82">
                  <c:v>23.160542492044481</c:v>
                </c:pt>
                <c:pt idx="83">
                  <c:v>23.391102070568003</c:v>
                </c:pt>
                <c:pt idx="84">
                  <c:v>23.621661649091529</c:v>
                </c:pt>
                <c:pt idx="85">
                  <c:v>23.85222122761505</c:v>
                </c:pt>
                <c:pt idx="86">
                  <c:v>24.082780806138576</c:v>
                </c:pt>
                <c:pt idx="87">
                  <c:v>24.313340384662098</c:v>
                </c:pt>
                <c:pt idx="88">
                  <c:v>24.543899963185623</c:v>
                </c:pt>
                <c:pt idx="89">
                  <c:v>24.774459541709149</c:v>
                </c:pt>
                <c:pt idx="90">
                  <c:v>25.005019120232671</c:v>
                </c:pt>
                <c:pt idx="91">
                  <c:v>25.235578698756196</c:v>
                </c:pt>
                <c:pt idx="92">
                  <c:v>25.466138277279718</c:v>
                </c:pt>
                <c:pt idx="93">
                  <c:v>25.696697855803244</c:v>
                </c:pt>
                <c:pt idx="94">
                  <c:v>25.927257434326766</c:v>
                </c:pt>
                <c:pt idx="95">
                  <c:v>26.157817012850291</c:v>
                </c:pt>
                <c:pt idx="96">
                  <c:v>26.388376591373813</c:v>
                </c:pt>
                <c:pt idx="97">
                  <c:v>26.618936169897339</c:v>
                </c:pt>
                <c:pt idx="98">
                  <c:v>26.849495748420861</c:v>
                </c:pt>
                <c:pt idx="99">
                  <c:v>27.080055326944386</c:v>
                </c:pt>
                <c:pt idx="100">
                  <c:v>27.310614905467908</c:v>
                </c:pt>
                <c:pt idx="101">
                  <c:v>27.541174483991433</c:v>
                </c:pt>
                <c:pt idx="102">
                  <c:v>27.771734062514959</c:v>
                </c:pt>
                <c:pt idx="103">
                  <c:v>28.002293641038481</c:v>
                </c:pt>
                <c:pt idx="104">
                  <c:v>28.232853219562006</c:v>
                </c:pt>
                <c:pt idx="105">
                  <c:v>28.463412798085528</c:v>
                </c:pt>
                <c:pt idx="106">
                  <c:v>28.693972376609054</c:v>
                </c:pt>
                <c:pt idx="107">
                  <c:v>28.924531955132576</c:v>
                </c:pt>
                <c:pt idx="108">
                  <c:v>29.155091533656101</c:v>
                </c:pt>
                <c:pt idx="109">
                  <c:v>29.385651112179623</c:v>
                </c:pt>
                <c:pt idx="110">
                  <c:v>29.616210690703149</c:v>
                </c:pt>
                <c:pt idx="111">
                  <c:v>29.846770269226671</c:v>
                </c:pt>
                <c:pt idx="112">
                  <c:v>30.077329847750196</c:v>
                </c:pt>
                <c:pt idx="113">
                  <c:v>30.307889426273718</c:v>
                </c:pt>
                <c:pt idx="114">
                  <c:v>30.538449004797243</c:v>
                </c:pt>
                <c:pt idx="115">
                  <c:v>30.769008583320769</c:v>
                </c:pt>
                <c:pt idx="116">
                  <c:v>30.999568161844291</c:v>
                </c:pt>
                <c:pt idx="117">
                  <c:v>31.230127740367816</c:v>
                </c:pt>
                <c:pt idx="118">
                  <c:v>31.460687318891338</c:v>
                </c:pt>
                <c:pt idx="119">
                  <c:v>31.691246897414864</c:v>
                </c:pt>
                <c:pt idx="120">
                  <c:v>31.921806475938386</c:v>
                </c:pt>
                <c:pt idx="121">
                  <c:v>32.152366054461908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17-460D-9683-AD87359D2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5312287"/>
        <c:axId val="677984927"/>
      </c:scatterChart>
      <c:valAx>
        <c:axId val="675312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7984927"/>
        <c:crosses val="autoZero"/>
        <c:crossBetween val="midCat"/>
      </c:valAx>
      <c:valAx>
        <c:axId val="67798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75312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166666666666668"/>
          <c:y val="0.87173483522892969"/>
          <c:w val="0.73666666666666669"/>
          <c:h val="0.12731700204141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900481189851275E-2"/>
          <c:y val="0.14856481481481484"/>
          <c:w val="0.8485299650043745"/>
          <c:h val="0.69559373835628135"/>
        </c:manualLayout>
      </c:layout>
      <c:scatterChart>
        <c:scatterStyle val="lineMarker"/>
        <c:varyColors val="0"/>
        <c:ser>
          <c:idx val="0"/>
          <c:order val="0"/>
          <c:tx>
            <c:v>наблюдения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7233377077865268"/>
                  <c:y val="-1.16626567512394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'Нелинейная парная регрессия'!$B$16:$B$137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'Нелинейная парная регрессия'!$F$16:$F$137</c:f>
              <c:numCache>
                <c:formatCode>General</c:formatCode>
                <c:ptCount val="122"/>
                <c:pt idx="0">
                  <c:v>-35.8483454506367</c:v>
                </c:pt>
                <c:pt idx="1">
                  <c:v>-36.135354243627518</c:v>
                </c:pt>
                <c:pt idx="2">
                  <c:v>-81.637439172640441</c:v>
                </c:pt>
                <c:pt idx="3">
                  <c:v>3.7671501904621243</c:v>
                </c:pt>
                <c:pt idx="4">
                  <c:v>-32.023012821970042</c:v>
                </c:pt>
                <c:pt idx="5">
                  <c:v>90.160117625894486</c:v>
                </c:pt>
                <c:pt idx="6">
                  <c:v>-115.12665344117676</c:v>
                </c:pt>
                <c:pt idx="7">
                  <c:v>16.398029943339058</c:v>
                </c:pt>
                <c:pt idx="8">
                  <c:v>-19.250793362681293</c:v>
                </c:pt>
                <c:pt idx="9">
                  <c:v>47.49087443086318</c:v>
                </c:pt>
                <c:pt idx="10">
                  <c:v>44.655957011687562</c:v>
                </c:pt>
                <c:pt idx="11">
                  <c:v>-77.013505819819414</c:v>
                </c:pt>
                <c:pt idx="12">
                  <c:v>34.770313290645127</c:v>
                </c:pt>
                <c:pt idx="13">
                  <c:v>55.572066422710186</c:v>
                </c:pt>
                <c:pt idx="14">
                  <c:v>-151.10131180717144</c:v>
                </c:pt>
                <c:pt idx="15">
                  <c:v>-57.638359323416381</c:v>
                </c:pt>
                <c:pt idx="16">
                  <c:v>-78.500268247986696</c:v>
                </c:pt>
                <c:pt idx="17">
                  <c:v>75.933147741398997</c:v>
                </c:pt>
                <c:pt idx="18">
                  <c:v>87.685158187437324</c:v>
                </c:pt>
                <c:pt idx="19">
                  <c:v>23.138155650754911</c:v>
                </c:pt>
                <c:pt idx="20">
                  <c:v>67.586690323690405</c:v>
                </c:pt>
                <c:pt idx="21">
                  <c:v>100.91231901420278</c:v>
                </c:pt>
                <c:pt idx="22">
                  <c:v>92.482487096083332</c:v>
                </c:pt>
                <c:pt idx="23">
                  <c:v>-49.119483036261542</c:v>
                </c:pt>
                <c:pt idx="24">
                  <c:v>21.661223956878509</c:v>
                </c:pt>
                <c:pt idx="25">
                  <c:v>74.141554260930263</c:v>
                </c:pt>
                <c:pt idx="26">
                  <c:v>116.37205939020959</c:v>
                </c:pt>
                <c:pt idx="27">
                  <c:v>-121.30293551132318</c:v>
                </c:pt>
                <c:pt idx="28">
                  <c:v>91.267817819032331</c:v>
                </c:pt>
                <c:pt idx="29">
                  <c:v>76.139579035283504</c:v>
                </c:pt>
                <c:pt idx="30">
                  <c:v>86.243802407286097</c:v>
                </c:pt>
                <c:pt idx="31">
                  <c:v>32.544310393183224</c:v>
                </c:pt>
                <c:pt idx="32">
                  <c:v>108.02156553632111</c:v>
                </c:pt>
                <c:pt idx="33">
                  <c:v>-47.020434924056786</c:v>
                </c:pt>
                <c:pt idx="34">
                  <c:v>-31.73175783036281</c:v>
                </c:pt>
                <c:pt idx="35">
                  <c:v>90.641880952934699</c:v>
                </c:pt>
                <c:pt idx="36">
                  <c:v>86.455589902836323</c:v>
                </c:pt>
                <c:pt idx="37">
                  <c:v>171.57686782887203</c:v>
                </c:pt>
                <c:pt idx="38">
                  <c:v>-5.5328595192567889</c:v>
                </c:pt>
                <c:pt idx="39">
                  <c:v>209.76480077469017</c:v>
                </c:pt>
                <c:pt idx="40">
                  <c:v>77.615951807926123</c:v>
                </c:pt>
                <c:pt idx="41">
                  <c:v>185.80276993380855</c:v>
                </c:pt>
                <c:pt idx="42">
                  <c:v>62.412385481705371</c:v>
                </c:pt>
                <c:pt idx="43">
                  <c:v>69.148465291801784</c:v>
                </c:pt>
                <c:pt idx="44">
                  <c:v>-57.268334562017174</c:v>
                </c:pt>
                <c:pt idx="45">
                  <c:v>144.93475136792514</c:v>
                </c:pt>
                <c:pt idx="46">
                  <c:v>34.789876815634727</c:v>
                </c:pt>
                <c:pt idx="47">
                  <c:v>62.1788461241335</c:v>
                </c:pt>
                <c:pt idx="48">
                  <c:v>72.400748722739451</c:v>
                </c:pt>
                <c:pt idx="49">
                  <c:v>25.378223093110066</c:v>
                </c:pt>
                <c:pt idx="50">
                  <c:v>121.04621712174958</c:v>
                </c:pt>
                <c:pt idx="51">
                  <c:v>20.759517248573189</c:v>
                </c:pt>
                <c:pt idx="52">
                  <c:v>162.67433558609795</c:v>
                </c:pt>
                <c:pt idx="53">
                  <c:v>69.565387067217316</c:v>
                </c:pt>
                <c:pt idx="54">
                  <c:v>174.04409251167084</c:v>
                </c:pt>
                <c:pt idx="55">
                  <c:v>100.01491818105096</c:v>
                </c:pt>
                <c:pt idx="56">
                  <c:v>52.137284508375387</c:v>
                </c:pt>
                <c:pt idx="57">
                  <c:v>150.61566151578901</c:v>
                </c:pt>
                <c:pt idx="58">
                  <c:v>83.352349341667633</c:v>
                </c:pt>
                <c:pt idx="59">
                  <c:v>182.23137793311608</c:v>
                </c:pt>
                <c:pt idx="60">
                  <c:v>106.04972767420219</c:v>
                </c:pt>
                <c:pt idx="61">
                  <c:v>150.04869415414743</c:v>
                </c:pt>
                <c:pt idx="62">
                  <c:v>100.21875118362243</c:v>
                </c:pt>
                <c:pt idx="63">
                  <c:v>77.779978780874416</c:v>
                </c:pt>
                <c:pt idx="64">
                  <c:v>144.10619355255031</c:v>
                </c:pt>
                <c:pt idx="65">
                  <c:v>253.65410724685751</c:v>
                </c:pt>
                <c:pt idx="66">
                  <c:v>120.29227563672922</c:v>
                </c:pt>
                <c:pt idx="67">
                  <c:v>-38.752721798077772</c:v>
                </c:pt>
                <c:pt idx="68">
                  <c:v>137.6763005223776</c:v>
                </c:pt>
                <c:pt idx="69">
                  <c:v>188.97052573238022</c:v>
                </c:pt>
                <c:pt idx="70">
                  <c:v>238.72512242043845</c:v>
                </c:pt>
                <c:pt idx="71">
                  <c:v>234.77488509798877</c:v>
                </c:pt>
                <c:pt idx="72">
                  <c:v>201.3629066315583</c:v>
                </c:pt>
                <c:pt idx="73">
                  <c:v>244.20597487823792</c:v>
                </c:pt>
                <c:pt idx="74">
                  <c:v>94.092077866196519</c:v>
                </c:pt>
                <c:pt idx="75">
                  <c:v>248.52249132677201</c:v>
                </c:pt>
                <c:pt idx="76">
                  <c:v>131.5196548580121</c:v>
                </c:pt>
                <c:pt idx="77">
                  <c:v>259.87275981147991</c:v>
                </c:pt>
                <c:pt idx="78">
                  <c:v>211.79965920065982</c:v>
                </c:pt>
                <c:pt idx="79">
                  <c:v>230.27513678511593</c:v>
                </c:pt>
                <c:pt idx="80">
                  <c:v>218.02560782219618</c:v>
                </c:pt>
                <c:pt idx="81">
                  <c:v>299.96943063596711</c:v>
                </c:pt>
                <c:pt idx="82">
                  <c:v>226.7043200912814</c:v>
                </c:pt>
                <c:pt idx="83">
                  <c:v>238.94424938671972</c:v>
                </c:pt>
                <c:pt idx="84">
                  <c:v>399.5843014418495</c:v>
                </c:pt>
                <c:pt idx="85">
                  <c:v>294.48678003144551</c:v>
                </c:pt>
                <c:pt idx="86">
                  <c:v>287.52591794489285</c:v>
                </c:pt>
                <c:pt idx="87">
                  <c:v>188.48405880047227</c:v>
                </c:pt>
                <c:pt idx="88">
                  <c:v>351.60027125435397</c:v>
                </c:pt>
                <c:pt idx="89">
                  <c:v>305.55949650338135</c:v>
                </c:pt>
                <c:pt idx="90">
                  <c:v>312.20790809129932</c:v>
                </c:pt>
                <c:pt idx="91">
                  <c:v>254.16870049850996</c:v>
                </c:pt>
                <c:pt idx="92">
                  <c:v>324.62892798986735</c:v>
                </c:pt>
                <c:pt idx="93">
                  <c:v>251.02002018454465</c:v>
                </c:pt>
                <c:pt idx="94">
                  <c:v>295.50504131775216</c:v>
                </c:pt>
                <c:pt idx="95">
                  <c:v>192.49290519909215</c:v>
                </c:pt>
                <c:pt idx="96">
                  <c:v>365.0194745241069</c:v>
                </c:pt>
                <c:pt idx="97">
                  <c:v>325.13237212220997</c:v>
                </c:pt>
                <c:pt idx="98">
                  <c:v>412.78161812738495</c:v>
                </c:pt>
                <c:pt idx="99">
                  <c:v>407.84436991944654</c:v>
                </c:pt>
                <c:pt idx="100">
                  <c:v>343.81435013822727</c:v>
                </c:pt>
                <c:pt idx="101">
                  <c:v>333.4580106045164</c:v>
                </c:pt>
                <c:pt idx="102">
                  <c:v>329.97779029199023</c:v>
                </c:pt>
                <c:pt idx="103">
                  <c:v>474.52143478103193</c:v>
                </c:pt>
                <c:pt idx="104">
                  <c:v>337.87291708466341</c:v>
                </c:pt>
                <c:pt idx="105">
                  <c:v>391.65702442673012</c:v>
                </c:pt>
                <c:pt idx="106">
                  <c:v>423.97367852314358</c:v>
                </c:pt>
                <c:pt idx="107">
                  <c:v>201.73839574876916</c:v>
                </c:pt>
                <c:pt idx="108">
                  <c:v>446.43090397567232</c:v>
                </c:pt>
                <c:pt idx="109">
                  <c:v>414.45716850159783</c:v>
                </c:pt>
                <c:pt idx="110">
                  <c:v>491.63240199333035</c:v>
                </c:pt>
                <c:pt idx="111">
                  <c:v>355.66675453198121</c:v>
                </c:pt>
                <c:pt idx="112">
                  <c:v>490.06594726696352</c:v>
                </c:pt>
                <c:pt idx="113">
                  <c:v>372.36254057513526</c:v>
                </c:pt>
                <c:pt idx="114">
                  <c:v>376.56156051682751</c:v>
                </c:pt>
                <c:pt idx="115">
                  <c:v>494.57847458192936</c:v>
                </c:pt>
                <c:pt idx="116">
                  <c:v>562.6755759995242</c:v>
                </c:pt>
                <c:pt idx="117">
                  <c:v>514.83463388757514</c:v>
                </c:pt>
                <c:pt idx="118">
                  <c:v>500.58333021571252</c:v>
                </c:pt>
                <c:pt idx="119">
                  <c:v>510.51258986489819</c:v>
                </c:pt>
                <c:pt idx="120">
                  <c:v>674.50995462390802</c:v>
                </c:pt>
                <c:pt idx="121">
                  <c:v>475.80923198844971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2-4783-90CA-3130339DD423}"/>
            </c:ext>
          </c:extLst>
        </c:ser>
        <c:ser>
          <c:idx val="1"/>
          <c:order val="1"/>
          <c:tx>
            <c:v>Прогноз по МНК-модели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795888013998252"/>
                  <c:y val="-9.96657188684747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'Нелинейная парная регрессия'!$B$16:$B$137</c:f>
              <c:numCache>
                <c:formatCode>General</c:formatCode>
                <c:ptCount val="12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</c:numCache>
            </c:numRef>
          </c:xVal>
          <c:yVal>
            <c:numRef>
              <c:f>'Нелинейная парная регрессия'!$H$16:$H$137</c:f>
              <c:numCache>
                <c:formatCode>General</c:formatCode>
                <c:ptCount val="122"/>
                <c:pt idx="0">
                  <c:v>-7.1678628934636919</c:v>
                </c:pt>
                <c:pt idx="1">
                  <c:v>-6.70618892754913</c:v>
                </c:pt>
                <c:pt idx="2">
                  <c:v>-6.1800543391139406</c:v>
                </c:pt>
                <c:pt idx="3">
                  <c:v>-5.5894591281581238</c:v>
                </c:pt>
                <c:pt idx="4">
                  <c:v>-4.9344032946816778</c:v>
                </c:pt>
                <c:pt idx="5">
                  <c:v>-4.2148868386846052</c:v>
                </c:pt>
                <c:pt idx="6">
                  <c:v>-3.4309097601669034</c:v>
                </c:pt>
                <c:pt idx="7">
                  <c:v>-2.5824720591285732</c:v>
                </c:pt>
                <c:pt idx="8">
                  <c:v>-1.6695737355696152</c:v>
                </c:pt>
                <c:pt idx="9">
                  <c:v>-0.69221478949002879</c:v>
                </c:pt>
                <c:pt idx="10">
                  <c:v>0.34960477911018595</c:v>
                </c:pt>
                <c:pt idx="11">
                  <c:v>1.4558849702310273</c:v>
                </c:pt>
                <c:pt idx="12">
                  <c:v>2.6266257838724982</c:v>
                </c:pt>
                <c:pt idx="13">
                  <c:v>3.8618272200345976</c:v>
                </c:pt>
                <c:pt idx="14">
                  <c:v>5.1614892787173243</c:v>
                </c:pt>
                <c:pt idx="15">
                  <c:v>6.5256119599206794</c:v>
                </c:pt>
                <c:pt idx="16">
                  <c:v>7.954195263644662</c:v>
                </c:pt>
                <c:pt idx="17">
                  <c:v>9.4472391898892738</c:v>
                </c:pt>
                <c:pt idx="18">
                  <c:v>11.004743738654515</c:v>
                </c:pt>
                <c:pt idx="19">
                  <c:v>12.626708909940382</c:v>
                </c:pt>
                <c:pt idx="20">
                  <c:v>14.313134703746876</c:v>
                </c:pt>
                <c:pt idx="21">
                  <c:v>16.064021120074003</c:v>
                </c:pt>
                <c:pt idx="22">
                  <c:v>17.879368158921757</c:v>
                </c:pt>
                <c:pt idx="23">
                  <c:v>19.759175820290132</c:v>
                </c:pt>
                <c:pt idx="24">
                  <c:v>21.703444104179141</c:v>
                </c:pt>
                <c:pt idx="25">
                  <c:v>23.712173010588778</c:v>
                </c:pt>
                <c:pt idx="26">
                  <c:v>25.785362539519042</c:v>
                </c:pt>
                <c:pt idx="27">
                  <c:v>27.923012690969937</c:v>
                </c:pt>
                <c:pt idx="28">
                  <c:v>30.125123464941456</c:v>
                </c:pt>
                <c:pt idx="29">
                  <c:v>32.391694861433606</c:v>
                </c:pt>
                <c:pt idx="30">
                  <c:v>34.722726880446388</c:v>
                </c:pt>
                <c:pt idx="31">
                  <c:v>37.118219521979789</c:v>
                </c:pt>
                <c:pt idx="32">
                  <c:v>39.578172786033818</c:v>
                </c:pt>
                <c:pt idx="33">
                  <c:v>42.102586672608481</c:v>
                </c:pt>
                <c:pt idx="34">
                  <c:v>44.691461181703772</c:v>
                </c:pt>
                <c:pt idx="35">
                  <c:v>47.344796313319691</c:v>
                </c:pt>
                <c:pt idx="36">
                  <c:v>50.062592067456237</c:v>
                </c:pt>
                <c:pt idx="37">
                  <c:v>52.844848444113417</c:v>
                </c:pt>
                <c:pt idx="38">
                  <c:v>55.691565443291211</c:v>
                </c:pt>
                <c:pt idx="39">
                  <c:v>58.602743064989646</c:v>
                </c:pt>
                <c:pt idx="40">
                  <c:v>61.578381309208702</c:v>
                </c:pt>
                <c:pt idx="41">
                  <c:v>64.618480175948392</c:v>
                </c:pt>
                <c:pt idx="42">
                  <c:v>67.723039665208702</c:v>
                </c:pt>
                <c:pt idx="43">
                  <c:v>70.892059776989655</c:v>
                </c:pt>
                <c:pt idx="44">
                  <c:v>74.12554051129122</c:v>
                </c:pt>
                <c:pt idx="45">
                  <c:v>77.423481868113427</c:v>
                </c:pt>
                <c:pt idx="46">
                  <c:v>80.785883847456248</c:v>
                </c:pt>
                <c:pt idx="47">
                  <c:v>84.212746449319695</c:v>
                </c:pt>
                <c:pt idx="48">
                  <c:v>87.704069673703785</c:v>
                </c:pt>
                <c:pt idx="49">
                  <c:v>91.259853520608502</c:v>
                </c:pt>
                <c:pt idx="50">
                  <c:v>94.880097990033846</c:v>
                </c:pt>
                <c:pt idx="51">
                  <c:v>98.564803081979804</c:v>
                </c:pt>
                <c:pt idx="52">
                  <c:v>102.3139687964464</c:v>
                </c:pt>
                <c:pt idx="53">
                  <c:v>106.12759513343363</c:v>
                </c:pt>
                <c:pt idx="54">
                  <c:v>110.00568209294147</c:v>
                </c:pt>
                <c:pt idx="55">
                  <c:v>113.94822967496997</c:v>
                </c:pt>
                <c:pt idx="56">
                  <c:v>117.95523787951907</c:v>
                </c:pt>
                <c:pt idx="57">
                  <c:v>122.02670670658881</c:v>
                </c:pt>
                <c:pt idx="58">
                  <c:v>126.16263615617916</c:v>
                </c:pt>
                <c:pt idx="59">
                  <c:v>130.36302622829018</c:v>
                </c:pt>
                <c:pt idx="60">
                  <c:v>134.62787692292179</c:v>
                </c:pt>
                <c:pt idx="61">
                  <c:v>138.95718824007403</c:v>
                </c:pt>
                <c:pt idx="62">
                  <c:v>143.35096017974692</c:v>
                </c:pt>
                <c:pt idx="63">
                  <c:v>147.80919274194042</c:v>
                </c:pt>
                <c:pt idx="64">
                  <c:v>152.33188592665454</c:v>
                </c:pt>
                <c:pt idx="65">
                  <c:v>156.91903973388932</c:v>
                </c:pt>
                <c:pt idx="66">
                  <c:v>161.57065416364472</c:v>
                </c:pt>
                <c:pt idx="67">
                  <c:v>166.28672921592073</c:v>
                </c:pt>
                <c:pt idx="68">
                  <c:v>171.06726489071738</c:v>
                </c:pt>
                <c:pt idx="69">
                  <c:v>175.91226118803465</c:v>
                </c:pt>
                <c:pt idx="70">
                  <c:v>180.82171810787256</c:v>
                </c:pt>
                <c:pt idx="71">
                  <c:v>185.79563565023108</c:v>
                </c:pt>
                <c:pt idx="72">
                  <c:v>190.83401381511027</c:v>
                </c:pt>
                <c:pt idx="73">
                  <c:v>195.93685260251004</c:v>
                </c:pt>
                <c:pt idx="74">
                  <c:v>201.10415201243043</c:v>
                </c:pt>
                <c:pt idx="75">
                  <c:v>206.33591204487152</c:v>
                </c:pt>
                <c:pt idx="76">
                  <c:v>211.63213269983316</c:v>
                </c:pt>
                <c:pt idx="77">
                  <c:v>216.99281397731545</c:v>
                </c:pt>
                <c:pt idx="78">
                  <c:v>222.41795587731841</c:v>
                </c:pt>
                <c:pt idx="79">
                  <c:v>227.90755839984195</c:v>
                </c:pt>
                <c:pt idx="80">
                  <c:v>233.46162154488613</c:v>
                </c:pt>
                <c:pt idx="81">
                  <c:v>239.08014531245095</c:v>
                </c:pt>
                <c:pt idx="82">
                  <c:v>244.76312970253639</c:v>
                </c:pt>
                <c:pt idx="83">
                  <c:v>250.51057471514247</c:v>
                </c:pt>
                <c:pt idx="84">
                  <c:v>256.32248035026913</c:v>
                </c:pt>
                <c:pt idx="85">
                  <c:v>262.19884660791649</c:v>
                </c:pt>
                <c:pt idx="86">
                  <c:v>268.13967348808444</c:v>
                </c:pt>
                <c:pt idx="87">
                  <c:v>274.14496099077303</c:v>
                </c:pt>
                <c:pt idx="88">
                  <c:v>280.2147091159822</c:v>
                </c:pt>
                <c:pt idx="89">
                  <c:v>286.34891786371207</c:v>
                </c:pt>
                <c:pt idx="90">
                  <c:v>292.54758723396253</c:v>
                </c:pt>
                <c:pt idx="91">
                  <c:v>298.81071722673363</c:v>
                </c:pt>
                <c:pt idx="92">
                  <c:v>305.13830784202537</c:v>
                </c:pt>
                <c:pt idx="93">
                  <c:v>311.53035907983769</c:v>
                </c:pt>
                <c:pt idx="94">
                  <c:v>317.98687094017066</c:v>
                </c:pt>
                <c:pt idx="95">
                  <c:v>324.50784342302427</c:v>
                </c:pt>
                <c:pt idx="96">
                  <c:v>331.09327652839852</c:v>
                </c:pt>
                <c:pt idx="97">
                  <c:v>337.74317025629335</c:v>
                </c:pt>
                <c:pt idx="98">
                  <c:v>344.45752460670889</c:v>
                </c:pt>
                <c:pt idx="99">
                  <c:v>351.236339579645</c:v>
                </c:pt>
                <c:pt idx="100">
                  <c:v>358.07961517510171</c:v>
                </c:pt>
                <c:pt idx="101">
                  <c:v>364.98735139307911</c:v>
                </c:pt>
                <c:pt idx="102">
                  <c:v>371.95954823357715</c:v>
                </c:pt>
                <c:pt idx="103">
                  <c:v>378.99620569659572</c:v>
                </c:pt>
                <c:pt idx="104">
                  <c:v>386.09732378213499</c:v>
                </c:pt>
                <c:pt idx="105">
                  <c:v>393.2629024901949</c:v>
                </c:pt>
                <c:pt idx="106">
                  <c:v>400.49294182077546</c:v>
                </c:pt>
                <c:pt idx="107">
                  <c:v>407.78744177387654</c:v>
                </c:pt>
                <c:pt idx="108">
                  <c:v>415.14640234949832</c:v>
                </c:pt>
                <c:pt idx="109">
                  <c:v>422.56982354764068</c:v>
                </c:pt>
                <c:pt idx="110">
                  <c:v>430.05770536830374</c:v>
                </c:pt>
                <c:pt idx="111">
                  <c:v>437.61004781148745</c:v>
                </c:pt>
                <c:pt idx="112">
                  <c:v>445.22685087719174</c:v>
                </c:pt>
                <c:pt idx="113">
                  <c:v>452.90811456541661</c:v>
                </c:pt>
                <c:pt idx="114">
                  <c:v>460.65383887616218</c:v>
                </c:pt>
                <c:pt idx="115">
                  <c:v>468.46402380942834</c:v>
                </c:pt>
                <c:pt idx="116">
                  <c:v>476.33866936521508</c:v>
                </c:pt>
                <c:pt idx="117">
                  <c:v>484.27777554352252</c:v>
                </c:pt>
                <c:pt idx="118">
                  <c:v>492.28134234435061</c:v>
                </c:pt>
                <c:pt idx="119">
                  <c:v>500.34936976769927</c:v>
                </c:pt>
                <c:pt idx="120">
                  <c:v>508.48185781356858</c:v>
                </c:pt>
                <c:pt idx="121">
                  <c:v>516.67880648195853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C2-4783-90CA-3130339DD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180687"/>
        <c:axId val="48471439"/>
      </c:scatterChart>
      <c:valAx>
        <c:axId val="1940180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471439"/>
        <c:crosses val="autoZero"/>
        <c:crossBetween val="midCat"/>
      </c:valAx>
      <c:valAx>
        <c:axId val="4847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40180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4.3319335083114648E-2"/>
          <c:y val="0.84805450095873058"/>
          <c:w val="0.95112510936132988"/>
          <c:h val="0.150997290301656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900481189851275E-2"/>
          <c:y val="4.1666666666666664E-2"/>
          <c:w val="0.86987729658792656"/>
          <c:h val="0.79059318532428591"/>
        </c:manualLayout>
      </c:layout>
      <c:scatterChart>
        <c:scatterStyle val="lineMarker"/>
        <c:varyColors val="0"/>
        <c:ser>
          <c:idx val="0"/>
          <c:order val="0"/>
          <c:tx>
            <c:v>Наблюдения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'Множественная нелинейная регрес'!$B$16:$B$137</c:f>
              <c:numCache>
                <c:formatCode>General</c:formatCode>
                <c:ptCount val="12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</c:numCache>
            </c:numRef>
          </c:xVal>
          <c:yVal>
            <c:numRef>
              <c:f>'Множественная нелинейная регрес'!$I$16:$I$137</c:f>
              <c:numCache>
                <c:formatCode>General</c:formatCode>
                <c:ptCount val="122"/>
                <c:pt idx="0">
                  <c:v>-46.820682584811173</c:v>
                </c:pt>
                <c:pt idx="1">
                  <c:v>41.861813841448424</c:v>
                </c:pt>
                <c:pt idx="2">
                  <c:v>33.873726789387888</c:v>
                </c:pt>
                <c:pt idx="3">
                  <c:v>-22.574219175032194</c:v>
                </c:pt>
                <c:pt idx="4">
                  <c:v>-13.932912342729209</c:v>
                </c:pt>
                <c:pt idx="5">
                  <c:v>25.639010261843097</c:v>
                </c:pt>
                <c:pt idx="6">
                  <c:v>-4.139631137227175</c:v>
                </c:pt>
                <c:pt idx="7">
                  <c:v>3.351544282328315</c:v>
                </c:pt>
                <c:pt idx="8">
                  <c:v>14.546731608026116</c:v>
                </c:pt>
                <c:pt idx="9">
                  <c:v>-19.674703403648003</c:v>
                </c:pt>
                <c:pt idx="10">
                  <c:v>12.213665029718776</c:v>
                </c:pt>
                <c:pt idx="11">
                  <c:v>11.193642109856725</c:v>
                </c:pt>
                <c:pt idx="12">
                  <c:v>2.4416565971463911</c:v>
                </c:pt>
                <c:pt idx="13">
                  <c:v>-17.296754459421795</c:v>
                </c:pt>
                <c:pt idx="14">
                  <c:v>-4.0869511001916727</c:v>
                </c:pt>
                <c:pt idx="15">
                  <c:v>-10.54072306160684</c:v>
                </c:pt>
                <c:pt idx="16">
                  <c:v>5.3949591083466784</c:v>
                </c:pt>
                <c:pt idx="17">
                  <c:v>-3.5739959349379014</c:v>
                </c:pt>
                <c:pt idx="18">
                  <c:v>23.946667007843374</c:v>
                </c:pt>
                <c:pt idx="19">
                  <c:v>18.686061175528458</c:v>
                </c:pt>
                <c:pt idx="20">
                  <c:v>58.132909863897424</c:v>
                </c:pt>
                <c:pt idx="21">
                  <c:v>-60.719214150610156</c:v>
                </c:pt>
                <c:pt idx="22">
                  <c:v>-5.0611700522072987</c:v>
                </c:pt>
                <c:pt idx="23">
                  <c:v>3.3764974583715084</c:v>
                </c:pt>
                <c:pt idx="24">
                  <c:v>-27.281998944162893</c:v>
                </c:pt>
                <c:pt idx="25">
                  <c:v>22.763920174094949</c:v>
                </c:pt>
                <c:pt idx="26">
                  <c:v>3.7213149957526426</c:v>
                </c:pt>
                <c:pt idx="27">
                  <c:v>-0.75824928593470631</c:v>
                </c:pt>
                <c:pt idx="28">
                  <c:v>-35.701363744075266</c:v>
                </c:pt>
                <c:pt idx="29">
                  <c:v>19.59799820371919</c:v>
                </c:pt>
                <c:pt idx="30">
                  <c:v>42.996816113847515</c:v>
                </c:pt>
                <c:pt idx="31">
                  <c:v>15.119859767499602</c:v>
                </c:pt>
                <c:pt idx="32">
                  <c:v>39.979280745786106</c:v>
                </c:pt>
                <c:pt idx="33">
                  <c:v>44.86260061749627</c:v>
                </c:pt>
                <c:pt idx="34">
                  <c:v>12.137504267939018</c:v>
                </c:pt>
                <c:pt idx="35">
                  <c:v>43.412773871614846</c:v>
                </c:pt>
                <c:pt idx="36">
                  <c:v>56.721538210109522</c:v>
                </c:pt>
                <c:pt idx="37">
                  <c:v>18.343797116443607</c:v>
                </c:pt>
                <c:pt idx="38">
                  <c:v>42.347565180062347</c:v>
                </c:pt>
                <c:pt idx="39">
                  <c:v>38.320991918225381</c:v>
                </c:pt>
                <c:pt idx="40">
                  <c:v>12.406361844487858</c:v>
                </c:pt>
                <c:pt idx="41">
                  <c:v>4.3971474411113149</c:v>
                </c:pt>
                <c:pt idx="42">
                  <c:v>-10.123676605195211</c:v>
                </c:pt>
                <c:pt idx="43">
                  <c:v>58.584278314109312</c:v>
                </c:pt>
                <c:pt idx="44">
                  <c:v>64.346945456570609</c:v>
                </c:pt>
                <c:pt idx="45">
                  <c:v>54.078297940537411</c:v>
                </c:pt>
                <c:pt idx="46">
                  <c:v>6.8632950161934509</c:v>
                </c:pt>
                <c:pt idx="47">
                  <c:v>30.410996097940401</c:v>
                </c:pt>
                <c:pt idx="48">
                  <c:v>61.692134835289309</c:v>
                </c:pt>
                <c:pt idx="49">
                  <c:v>58.903315652451568</c:v>
                </c:pt>
                <c:pt idx="50">
                  <c:v>39.863506380056499</c:v>
                </c:pt>
                <c:pt idx="51">
                  <c:v>51.858825310770889</c:v>
                </c:pt>
                <c:pt idx="52">
                  <c:v>75.904454019099546</c:v>
                </c:pt>
                <c:pt idx="53">
                  <c:v>58.570383188355017</c:v>
                </c:pt>
                <c:pt idx="54">
                  <c:v>69.158826533776931</c:v>
                </c:pt>
                <c:pt idx="55">
                  <c:v>79.088415863704938</c:v>
                </c:pt>
                <c:pt idx="56">
                  <c:v>24.634890550150232</c:v>
                </c:pt>
                <c:pt idx="57">
                  <c:v>80.601821340805458</c:v>
                </c:pt>
                <c:pt idx="58">
                  <c:v>31.679320611933107</c:v>
                </c:pt>
                <c:pt idx="59">
                  <c:v>19.889101555721815</c:v>
                </c:pt>
                <c:pt idx="60">
                  <c:v>63.683900381448126</c:v>
                </c:pt>
                <c:pt idx="61">
                  <c:v>54.85556842342249</c:v>
                </c:pt>
                <c:pt idx="62">
                  <c:v>80.317363123004398</c:v>
                </c:pt>
                <c:pt idx="63">
                  <c:v>21.933258139922692</c:v>
                </c:pt>
                <c:pt idx="64">
                  <c:v>24.08305627800361</c:v>
                </c:pt>
                <c:pt idx="65">
                  <c:v>58.821924492257914</c:v>
                </c:pt>
                <c:pt idx="66">
                  <c:v>146.69647713240954</c:v>
                </c:pt>
                <c:pt idx="67">
                  <c:v>61.127839913562923</c:v>
                </c:pt>
                <c:pt idx="68">
                  <c:v>56.617110018310342</c:v>
                </c:pt>
                <c:pt idx="69">
                  <c:v>45.380539334531449</c:v>
                </c:pt>
                <c:pt idx="70">
                  <c:v>95.344930617431174</c:v>
                </c:pt>
                <c:pt idx="71">
                  <c:v>84.32147787514117</c:v>
                </c:pt>
                <c:pt idx="72">
                  <c:v>73.764501948259465</c:v>
                </c:pt>
                <c:pt idx="73">
                  <c:v>83.308862996940334</c:v>
                </c:pt>
                <c:pt idx="74">
                  <c:v>139.05931482908386</c:v>
                </c:pt>
                <c:pt idx="75">
                  <c:v>70.089837707077862</c:v>
                </c:pt>
                <c:pt idx="76">
                  <c:v>72.334226280229402</c:v>
                </c:pt>
                <c:pt idx="77">
                  <c:v>86.91036146439906</c:v>
                </c:pt>
                <c:pt idx="78">
                  <c:v>62.186246405947024</c:v>
                </c:pt>
                <c:pt idx="79">
                  <c:v>118.82765567504207</c:v>
                </c:pt>
                <c:pt idx="80">
                  <c:v>128.75863642834011</c:v>
                </c:pt>
                <c:pt idx="81">
                  <c:v>96.725713086798351</c:v>
                </c:pt>
                <c:pt idx="82">
                  <c:v>90.354170191398921</c:v>
                </c:pt>
                <c:pt idx="83">
                  <c:v>148.57118433096915</c:v>
                </c:pt>
                <c:pt idx="84">
                  <c:v>160.14333938189057</c:v>
                </c:pt>
                <c:pt idx="85">
                  <c:v>90.932049950334658</c:v>
                </c:pt>
                <c:pt idx="86">
                  <c:v>105.32439192634422</c:v>
                </c:pt>
                <c:pt idx="87">
                  <c:v>76.521707287437977</c:v>
                </c:pt>
                <c:pt idx="88">
                  <c:v>118.93821362838045</c:v>
                </c:pt>
                <c:pt idx="89">
                  <c:v>102.55672820979835</c:v>
                </c:pt>
                <c:pt idx="90">
                  <c:v>133.98424426674737</c:v>
                </c:pt>
                <c:pt idx="91">
                  <c:v>141.26628855599742</c:v>
                </c:pt>
                <c:pt idx="92">
                  <c:v>140.53264265407225</c:v>
                </c:pt>
                <c:pt idx="93">
                  <c:v>144.22263609626046</c:v>
                </c:pt>
                <c:pt idx="94">
                  <c:v>138.44274987404077</c:v>
                </c:pt>
                <c:pt idx="95">
                  <c:v>205.12736799419125</c:v>
                </c:pt>
                <c:pt idx="96">
                  <c:v>141.81815105363773</c:v>
                </c:pt>
                <c:pt idx="97">
                  <c:v>170.94242304224286</c:v>
                </c:pt>
                <c:pt idx="98">
                  <c:v>127.69916387334838</c:v>
                </c:pt>
                <c:pt idx="99">
                  <c:v>173.5201841850936</c:v>
                </c:pt>
                <c:pt idx="100">
                  <c:v>163.72606697183295</c:v>
                </c:pt>
                <c:pt idx="101">
                  <c:v>135.55765858689364</c:v>
                </c:pt>
                <c:pt idx="102">
                  <c:v>203.56126748553842</c:v>
                </c:pt>
                <c:pt idx="103">
                  <c:v>205.13551366053645</c:v>
                </c:pt>
                <c:pt idx="104">
                  <c:v>125.13210417921461</c:v>
                </c:pt>
                <c:pt idx="105">
                  <c:v>143.73731235456827</c:v>
                </c:pt>
                <c:pt idx="106">
                  <c:v>169.83429736123853</c:v>
                </c:pt>
                <c:pt idx="107">
                  <c:v>178.12191762641041</c:v>
                </c:pt>
                <c:pt idx="108">
                  <c:v>169.91736298084049</c:v>
                </c:pt>
                <c:pt idx="109">
                  <c:v>197.47610508975902</c:v>
                </c:pt>
                <c:pt idx="110">
                  <c:v>189.81105776192257</c:v>
                </c:pt>
                <c:pt idx="111">
                  <c:v>194.67077630251703</c:v>
                </c:pt>
                <c:pt idx="112">
                  <c:v>180.56685233213776</c:v>
                </c:pt>
                <c:pt idx="113">
                  <c:v>182.5274317896037</c:v>
                </c:pt>
                <c:pt idx="114">
                  <c:v>184.70366417850042</c:v>
                </c:pt>
                <c:pt idx="115">
                  <c:v>195.20274506268166</c:v>
                </c:pt>
                <c:pt idx="116">
                  <c:v>236.89885470466416</c:v>
                </c:pt>
                <c:pt idx="117">
                  <c:v>239.5010614482627</c:v>
                </c:pt>
                <c:pt idx="118">
                  <c:v>206.72486699789695</c:v>
                </c:pt>
                <c:pt idx="119">
                  <c:v>234.88503629050021</c:v>
                </c:pt>
                <c:pt idx="120">
                  <c:v>234.04357993027247</c:v>
                </c:pt>
                <c:pt idx="121">
                  <c:v>182.66558212925761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A6-47D5-BCA3-3EDA25A4F005}"/>
            </c:ext>
          </c:extLst>
        </c:ser>
        <c:ser>
          <c:idx val="1"/>
          <c:order val="1"/>
          <c:tx>
            <c:v>Прогноз МНК-модели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'Множественная нелинейная регрес'!$B$16:$B$137</c:f>
              <c:numCache>
                <c:formatCode>General</c:formatCode>
                <c:ptCount val="122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  <c:pt idx="11">
                  <c:v>1.0999999999999999</c:v>
                </c:pt>
                <c:pt idx="12">
                  <c:v>1.2</c:v>
                </c:pt>
                <c:pt idx="13">
                  <c:v>1.3</c:v>
                </c:pt>
                <c:pt idx="14">
                  <c:v>1.4000000000000001</c:v>
                </c:pt>
                <c:pt idx="15">
                  <c:v>1.5000000000000002</c:v>
                </c:pt>
                <c:pt idx="16">
                  <c:v>1.6000000000000003</c:v>
                </c:pt>
                <c:pt idx="17">
                  <c:v>1.7000000000000004</c:v>
                </c:pt>
                <c:pt idx="18">
                  <c:v>1.8000000000000005</c:v>
                </c:pt>
                <c:pt idx="19">
                  <c:v>1.9000000000000006</c:v>
                </c:pt>
                <c:pt idx="20">
                  <c:v>2.0000000000000004</c:v>
                </c:pt>
                <c:pt idx="21">
                  <c:v>2.1000000000000005</c:v>
                </c:pt>
                <c:pt idx="22">
                  <c:v>2.2000000000000006</c:v>
                </c:pt>
                <c:pt idx="23">
                  <c:v>2.3000000000000007</c:v>
                </c:pt>
                <c:pt idx="24">
                  <c:v>2.4000000000000008</c:v>
                </c:pt>
                <c:pt idx="25">
                  <c:v>2.5000000000000009</c:v>
                </c:pt>
                <c:pt idx="26">
                  <c:v>2.600000000000001</c:v>
                </c:pt>
                <c:pt idx="27">
                  <c:v>2.7000000000000011</c:v>
                </c:pt>
                <c:pt idx="28">
                  <c:v>2.8000000000000012</c:v>
                </c:pt>
                <c:pt idx="29">
                  <c:v>2.9000000000000012</c:v>
                </c:pt>
                <c:pt idx="30">
                  <c:v>3.0000000000000013</c:v>
                </c:pt>
                <c:pt idx="31">
                  <c:v>3.1000000000000014</c:v>
                </c:pt>
                <c:pt idx="32">
                  <c:v>3.2000000000000015</c:v>
                </c:pt>
                <c:pt idx="33">
                  <c:v>3.3000000000000016</c:v>
                </c:pt>
                <c:pt idx="34">
                  <c:v>3.4000000000000017</c:v>
                </c:pt>
                <c:pt idx="35">
                  <c:v>3.5000000000000018</c:v>
                </c:pt>
                <c:pt idx="36">
                  <c:v>3.6000000000000019</c:v>
                </c:pt>
                <c:pt idx="37">
                  <c:v>3.700000000000002</c:v>
                </c:pt>
                <c:pt idx="38">
                  <c:v>3.800000000000002</c:v>
                </c:pt>
                <c:pt idx="39">
                  <c:v>3.9000000000000021</c:v>
                </c:pt>
                <c:pt idx="40">
                  <c:v>4.0000000000000018</c:v>
                </c:pt>
                <c:pt idx="41">
                  <c:v>4.1000000000000014</c:v>
                </c:pt>
                <c:pt idx="42">
                  <c:v>4.2000000000000011</c:v>
                </c:pt>
                <c:pt idx="43">
                  <c:v>4.3000000000000007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4.6999999999999993</c:v>
                </c:pt>
                <c:pt idx="48">
                  <c:v>4.7999999999999989</c:v>
                </c:pt>
                <c:pt idx="49">
                  <c:v>4.8999999999999986</c:v>
                </c:pt>
                <c:pt idx="50">
                  <c:v>4.9999999999999982</c:v>
                </c:pt>
                <c:pt idx="51">
                  <c:v>5.0999999999999979</c:v>
                </c:pt>
                <c:pt idx="52">
                  <c:v>5.1999999999999975</c:v>
                </c:pt>
                <c:pt idx="53">
                  <c:v>5.2999999999999972</c:v>
                </c:pt>
                <c:pt idx="54">
                  <c:v>5.3999999999999968</c:v>
                </c:pt>
                <c:pt idx="55">
                  <c:v>5.4999999999999964</c:v>
                </c:pt>
                <c:pt idx="56">
                  <c:v>5.5999999999999961</c:v>
                </c:pt>
                <c:pt idx="57">
                  <c:v>5.6999999999999957</c:v>
                </c:pt>
                <c:pt idx="58">
                  <c:v>5.7999999999999954</c:v>
                </c:pt>
                <c:pt idx="59">
                  <c:v>5.899999999999995</c:v>
                </c:pt>
                <c:pt idx="60">
                  <c:v>5.9999999999999947</c:v>
                </c:pt>
                <c:pt idx="61">
                  <c:v>6.0999999999999943</c:v>
                </c:pt>
                <c:pt idx="62">
                  <c:v>6.199999999999994</c:v>
                </c:pt>
                <c:pt idx="63">
                  <c:v>6.2999999999999936</c:v>
                </c:pt>
                <c:pt idx="64">
                  <c:v>6.3999999999999932</c:v>
                </c:pt>
                <c:pt idx="65">
                  <c:v>6.4999999999999929</c:v>
                </c:pt>
                <c:pt idx="66">
                  <c:v>6.5999999999999925</c:v>
                </c:pt>
                <c:pt idx="67">
                  <c:v>6.6999999999999922</c:v>
                </c:pt>
                <c:pt idx="68">
                  <c:v>6.7999999999999918</c:v>
                </c:pt>
                <c:pt idx="69">
                  <c:v>6.8999999999999915</c:v>
                </c:pt>
                <c:pt idx="70">
                  <c:v>6.9999999999999911</c:v>
                </c:pt>
                <c:pt idx="71">
                  <c:v>7.0999999999999908</c:v>
                </c:pt>
                <c:pt idx="72">
                  <c:v>7.1999999999999904</c:v>
                </c:pt>
                <c:pt idx="73">
                  <c:v>7.2999999999999901</c:v>
                </c:pt>
                <c:pt idx="74">
                  <c:v>7.3999999999999897</c:v>
                </c:pt>
                <c:pt idx="75">
                  <c:v>7.4999999999999893</c:v>
                </c:pt>
                <c:pt idx="76">
                  <c:v>7.599999999999989</c:v>
                </c:pt>
                <c:pt idx="77">
                  <c:v>7.6999999999999886</c:v>
                </c:pt>
                <c:pt idx="78">
                  <c:v>7.7999999999999883</c:v>
                </c:pt>
                <c:pt idx="79">
                  <c:v>7.8999999999999879</c:v>
                </c:pt>
                <c:pt idx="80">
                  <c:v>7.9999999999999876</c:v>
                </c:pt>
                <c:pt idx="81">
                  <c:v>8.0999999999999872</c:v>
                </c:pt>
                <c:pt idx="82">
                  <c:v>8.1999999999999869</c:v>
                </c:pt>
                <c:pt idx="83">
                  <c:v>8.2999999999999865</c:v>
                </c:pt>
                <c:pt idx="84">
                  <c:v>8.3999999999999861</c:v>
                </c:pt>
                <c:pt idx="85">
                  <c:v>8.4999999999999858</c:v>
                </c:pt>
                <c:pt idx="86">
                  <c:v>8.5999999999999854</c:v>
                </c:pt>
                <c:pt idx="87">
                  <c:v>8.6999999999999851</c:v>
                </c:pt>
                <c:pt idx="88">
                  <c:v>8.7999999999999847</c:v>
                </c:pt>
                <c:pt idx="89">
                  <c:v>8.8999999999999844</c:v>
                </c:pt>
                <c:pt idx="90">
                  <c:v>8.999999999999984</c:v>
                </c:pt>
                <c:pt idx="91">
                  <c:v>9.0999999999999837</c:v>
                </c:pt>
                <c:pt idx="92">
                  <c:v>9.1999999999999833</c:v>
                </c:pt>
                <c:pt idx="93">
                  <c:v>9.2999999999999829</c:v>
                </c:pt>
                <c:pt idx="94">
                  <c:v>9.3999999999999826</c:v>
                </c:pt>
                <c:pt idx="95">
                  <c:v>9.4999999999999822</c:v>
                </c:pt>
                <c:pt idx="96">
                  <c:v>9.5999999999999819</c:v>
                </c:pt>
                <c:pt idx="97">
                  <c:v>9.6999999999999815</c:v>
                </c:pt>
                <c:pt idx="98">
                  <c:v>9.7999999999999812</c:v>
                </c:pt>
                <c:pt idx="99">
                  <c:v>9.8999999999999808</c:v>
                </c:pt>
                <c:pt idx="100">
                  <c:v>9.9999999999999805</c:v>
                </c:pt>
                <c:pt idx="101">
                  <c:v>10.09999999999998</c:v>
                </c:pt>
                <c:pt idx="102">
                  <c:v>10.19999999999998</c:v>
                </c:pt>
                <c:pt idx="103">
                  <c:v>10.299999999999979</c:v>
                </c:pt>
                <c:pt idx="104">
                  <c:v>10.399999999999979</c:v>
                </c:pt>
                <c:pt idx="105">
                  <c:v>10.499999999999979</c:v>
                </c:pt>
                <c:pt idx="106">
                  <c:v>10.599999999999978</c:v>
                </c:pt>
                <c:pt idx="107">
                  <c:v>10.699999999999978</c:v>
                </c:pt>
                <c:pt idx="108">
                  <c:v>10.799999999999978</c:v>
                </c:pt>
                <c:pt idx="109">
                  <c:v>10.899999999999977</c:v>
                </c:pt>
                <c:pt idx="110">
                  <c:v>10.999999999999977</c:v>
                </c:pt>
                <c:pt idx="111">
                  <c:v>11.099999999999977</c:v>
                </c:pt>
                <c:pt idx="112">
                  <c:v>11.199999999999976</c:v>
                </c:pt>
                <c:pt idx="113">
                  <c:v>11.299999999999976</c:v>
                </c:pt>
                <c:pt idx="114">
                  <c:v>11.399999999999975</c:v>
                </c:pt>
                <c:pt idx="115">
                  <c:v>11.499999999999975</c:v>
                </c:pt>
                <c:pt idx="116">
                  <c:v>11.599999999999975</c:v>
                </c:pt>
                <c:pt idx="117">
                  <c:v>11.699999999999974</c:v>
                </c:pt>
                <c:pt idx="118">
                  <c:v>11.799999999999974</c:v>
                </c:pt>
                <c:pt idx="119">
                  <c:v>11.899999999999974</c:v>
                </c:pt>
                <c:pt idx="120">
                  <c:v>11.999999999999973</c:v>
                </c:pt>
                <c:pt idx="121">
                  <c:v>12.099999999999973</c:v>
                </c:pt>
              </c:numCache>
            </c:numRef>
          </c:xVal>
          <c:yVal>
            <c:numRef>
              <c:f>'Множественная нелинейная регрес'!$K$16:$K$137</c:f>
              <c:numCache>
                <c:formatCode>General</c:formatCode>
                <c:ptCount val="122"/>
                <c:pt idx="0">
                  <c:v>-2.5971883629268024</c:v>
                </c:pt>
                <c:pt idx="1">
                  <c:v>-2.3528845560773965</c:v>
                </c:pt>
                <c:pt idx="2">
                  <c:v>-2.081281819309551</c:v>
                </c:pt>
                <c:pt idx="3">
                  <c:v>-1.7823801526232663</c:v>
                </c:pt>
                <c:pt idx="4">
                  <c:v>-1.4561795560185418</c:v>
                </c:pt>
                <c:pt idx="5">
                  <c:v>-1.102680029495378</c:v>
                </c:pt>
                <c:pt idx="6">
                  <c:v>-0.72188157305377387</c:v>
                </c:pt>
                <c:pt idx="7">
                  <c:v>-0.3137841866937302</c:v>
                </c:pt>
                <c:pt idx="8">
                  <c:v>0.12161212958475293</c:v>
                </c:pt>
                <c:pt idx="9">
                  <c:v>0.58430737578167558</c:v>
                </c:pt>
                <c:pt idx="10">
                  <c:v>1.074301551897038</c:v>
                </c:pt>
                <c:pt idx="11">
                  <c:v>1.5915946579308402</c:v>
                </c:pt>
                <c:pt idx="12">
                  <c:v>2.1361866938830825</c:v>
                </c:pt>
                <c:pt idx="13">
                  <c:v>2.7080776597537648</c:v>
                </c:pt>
                <c:pt idx="14">
                  <c:v>3.3072675555428863</c:v>
                </c:pt>
                <c:pt idx="15">
                  <c:v>3.9337563812504484</c:v>
                </c:pt>
                <c:pt idx="16">
                  <c:v>4.5875441368764491</c:v>
                </c:pt>
                <c:pt idx="17">
                  <c:v>5.2686308224208895</c:v>
                </c:pt>
                <c:pt idx="18">
                  <c:v>5.97701643788377</c:v>
                </c:pt>
                <c:pt idx="19">
                  <c:v>6.7127009832650897</c:v>
                </c:pt>
                <c:pt idx="20">
                  <c:v>7.4756844585648494</c:v>
                </c:pt>
                <c:pt idx="21">
                  <c:v>8.2659668637830475</c:v>
                </c:pt>
                <c:pt idx="22">
                  <c:v>9.0835481989196882</c:v>
                </c:pt>
                <c:pt idx="23">
                  <c:v>9.9284284639747682</c:v>
                </c:pt>
                <c:pt idx="24">
                  <c:v>10.800607658948286</c:v>
                </c:pt>
                <c:pt idx="25">
                  <c:v>11.700085783840244</c:v>
                </c:pt>
                <c:pt idx="26">
                  <c:v>12.626862838650641</c:v>
                </c:pt>
                <c:pt idx="27">
                  <c:v>13.58093882337948</c:v>
                </c:pt>
                <c:pt idx="28">
                  <c:v>14.562313738026756</c:v>
                </c:pt>
                <c:pt idx="29">
                  <c:v>15.570987582592476</c:v>
                </c:pt>
                <c:pt idx="30">
                  <c:v>16.60696035707663</c:v>
                </c:pt>
                <c:pt idx="31">
                  <c:v>17.670232061479226</c:v>
                </c:pt>
                <c:pt idx="32">
                  <c:v>18.760802695800265</c:v>
                </c:pt>
                <c:pt idx="33">
                  <c:v>19.878672260039739</c:v>
                </c:pt>
                <c:pt idx="34">
                  <c:v>21.023840754197657</c:v>
                </c:pt>
                <c:pt idx="35">
                  <c:v>22.196308178274009</c:v>
                </c:pt>
                <c:pt idx="36">
                  <c:v>23.396074532268809</c:v>
                </c:pt>
                <c:pt idx="37">
                  <c:v>24.623139816182039</c:v>
                </c:pt>
                <c:pt idx="38">
                  <c:v>25.877504030013718</c:v>
                </c:pt>
                <c:pt idx="39">
                  <c:v>27.15916717376383</c:v>
                </c:pt>
                <c:pt idx="40">
                  <c:v>28.46812924743238</c:v>
                </c:pt>
                <c:pt idx="41">
                  <c:v>29.804390251019367</c:v>
                </c:pt>
                <c:pt idx="42">
                  <c:v>31.167950184524791</c:v>
                </c:pt>
                <c:pt idx="43">
                  <c:v>32.558809047948657</c:v>
                </c:pt>
                <c:pt idx="44">
                  <c:v>33.976966841290967</c:v>
                </c:pt>
                <c:pt idx="45">
                  <c:v>35.422423564551707</c:v>
                </c:pt>
                <c:pt idx="46">
                  <c:v>36.895179217730899</c:v>
                </c:pt>
                <c:pt idx="47">
                  <c:v>38.395233800828521</c:v>
                </c:pt>
                <c:pt idx="48">
                  <c:v>39.922587313844588</c:v>
                </c:pt>
                <c:pt idx="49">
                  <c:v>41.477239756779092</c:v>
                </c:pt>
                <c:pt idx="50">
                  <c:v>43.059191129632026</c:v>
                </c:pt>
                <c:pt idx="51">
                  <c:v>44.668441432403412</c:v>
                </c:pt>
                <c:pt idx="52">
                  <c:v>46.304990665093243</c:v>
                </c:pt>
                <c:pt idx="53">
                  <c:v>47.968838827701497</c:v>
                </c:pt>
                <c:pt idx="54">
                  <c:v>49.659985920228195</c:v>
                </c:pt>
                <c:pt idx="55">
                  <c:v>51.378431942673338</c:v>
                </c:pt>
                <c:pt idx="56">
                  <c:v>53.124176895036918</c:v>
                </c:pt>
                <c:pt idx="57">
                  <c:v>54.897220777318935</c:v>
                </c:pt>
                <c:pt idx="58">
                  <c:v>56.69756358951939</c:v>
                </c:pt>
                <c:pt idx="59">
                  <c:v>58.52520533163829</c:v>
                </c:pt>
                <c:pt idx="60">
                  <c:v>60.380146003675634</c:v>
                </c:pt>
                <c:pt idx="61">
                  <c:v>62.262385605631401</c:v>
                </c:pt>
                <c:pt idx="62">
                  <c:v>64.171924137505627</c:v>
                </c:pt>
                <c:pt idx="63">
                  <c:v>66.108761599298276</c:v>
                </c:pt>
                <c:pt idx="64">
                  <c:v>68.07289799100937</c:v>
                </c:pt>
                <c:pt idx="65">
                  <c:v>70.064333312638908</c:v>
                </c:pt>
                <c:pt idx="66">
                  <c:v>72.083067564186877</c:v>
                </c:pt>
                <c:pt idx="67">
                  <c:v>74.12910074565329</c:v>
                </c:pt>
                <c:pt idx="68">
                  <c:v>76.202432857038147</c:v>
                </c:pt>
                <c:pt idx="69">
                  <c:v>78.303063898341435</c:v>
                </c:pt>
                <c:pt idx="70">
                  <c:v>80.430993869563167</c:v>
                </c:pt>
                <c:pt idx="71">
                  <c:v>82.586222770703344</c:v>
                </c:pt>
                <c:pt idx="72">
                  <c:v>84.768750601761951</c:v>
                </c:pt>
                <c:pt idx="73">
                  <c:v>86.978577362739003</c:v>
                </c:pt>
                <c:pt idx="74">
                  <c:v>89.215703053634513</c:v>
                </c:pt>
                <c:pt idx="75">
                  <c:v>91.480127674448426</c:v>
                </c:pt>
                <c:pt idx="76">
                  <c:v>93.771851225180797</c:v>
                </c:pt>
                <c:pt idx="77">
                  <c:v>96.090873705831598</c:v>
                </c:pt>
                <c:pt idx="78">
                  <c:v>98.437195116400858</c:v>
                </c:pt>
                <c:pt idx="79">
                  <c:v>100.81081545688853</c:v>
                </c:pt>
                <c:pt idx="80">
                  <c:v>103.21173472729467</c:v>
                </c:pt>
                <c:pt idx="81">
                  <c:v>105.63995292761922</c:v>
                </c:pt>
                <c:pt idx="82">
                  <c:v>108.09547005786223</c:v>
                </c:pt>
                <c:pt idx="83">
                  <c:v>110.57828611802368</c:v>
                </c:pt>
                <c:pt idx="84">
                  <c:v>113.08840110810355</c:v>
                </c:pt>
                <c:pt idx="85">
                  <c:v>115.62581502810188</c:v>
                </c:pt>
                <c:pt idx="86">
                  <c:v>118.19052787801866</c:v>
                </c:pt>
                <c:pt idx="87">
                  <c:v>120.78253965785385</c:v>
                </c:pt>
                <c:pt idx="88">
                  <c:v>123.40185036760749</c:v>
                </c:pt>
                <c:pt idx="89">
                  <c:v>126.0484600072796</c:v>
                </c:pt>
                <c:pt idx="90">
                  <c:v>128.72236857687011</c:v>
                </c:pt>
                <c:pt idx="91">
                  <c:v>131.42357607637905</c:v>
                </c:pt>
                <c:pt idx="92">
                  <c:v>134.15208250580645</c:v>
                </c:pt>
                <c:pt idx="93">
                  <c:v>136.9078878651523</c:v>
                </c:pt>
                <c:pt idx="94">
                  <c:v>139.69099215441659</c:v>
                </c:pt>
                <c:pt idx="95">
                  <c:v>142.50139537359928</c:v>
                </c:pt>
                <c:pt idx="96">
                  <c:v>145.33909752270046</c:v>
                </c:pt>
                <c:pt idx="97">
                  <c:v>148.20409860172006</c:v>
                </c:pt>
                <c:pt idx="98">
                  <c:v>151.0963986106581</c:v>
                </c:pt>
                <c:pt idx="99">
                  <c:v>154.01599754951457</c:v>
                </c:pt>
                <c:pt idx="100">
                  <c:v>156.96289541828946</c:v>
                </c:pt>
                <c:pt idx="101">
                  <c:v>159.93709221698282</c:v>
                </c:pt>
                <c:pt idx="102">
                  <c:v>162.93858794559463</c:v>
                </c:pt>
                <c:pt idx="103">
                  <c:v>165.96738260412485</c:v>
                </c:pt>
                <c:pt idx="104">
                  <c:v>169.02347619257353</c:v>
                </c:pt>
                <c:pt idx="105">
                  <c:v>172.10686871094063</c:v>
                </c:pt>
                <c:pt idx="106">
                  <c:v>175.21756015922622</c:v>
                </c:pt>
                <c:pt idx="107">
                  <c:v>178.35555053743019</c:v>
                </c:pt>
                <c:pt idx="108">
                  <c:v>181.52083984555262</c:v>
                </c:pt>
                <c:pt idx="109">
                  <c:v>184.7134280835935</c:v>
                </c:pt>
                <c:pt idx="110">
                  <c:v>187.93331525155281</c:v>
                </c:pt>
                <c:pt idx="111">
                  <c:v>191.18050134943059</c:v>
                </c:pt>
                <c:pt idx="112">
                  <c:v>194.45498637722676</c:v>
                </c:pt>
                <c:pt idx="113">
                  <c:v>197.75677033494139</c:v>
                </c:pt>
                <c:pt idx="114">
                  <c:v>201.08585322257443</c:v>
                </c:pt>
                <c:pt idx="115">
                  <c:v>204.44223504012598</c:v>
                </c:pt>
                <c:pt idx="116">
                  <c:v>207.82591578759587</c:v>
                </c:pt>
                <c:pt idx="117">
                  <c:v>211.23689546498429</c:v>
                </c:pt>
                <c:pt idx="118">
                  <c:v>214.6751740722911</c:v>
                </c:pt>
                <c:pt idx="119">
                  <c:v>218.1407516095164</c:v>
                </c:pt>
                <c:pt idx="120">
                  <c:v>221.6336280766601</c:v>
                </c:pt>
                <c:pt idx="121">
                  <c:v>225.15380347372223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A6-47D5-BCA3-3EDA25A4F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979279"/>
        <c:axId val="487290159"/>
      </c:scatterChart>
      <c:valAx>
        <c:axId val="485979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290159"/>
        <c:crosses val="autoZero"/>
        <c:crossBetween val="midCat"/>
      </c:valAx>
      <c:valAx>
        <c:axId val="48729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979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3.7648730514132096E-2"/>
          <c:y val="0.83350325075138332"/>
          <c:w val="0.92638121417564412"/>
          <c:h val="0.164711604580890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val>
            <c:numRef>
              <c:f>'Нелинейная поверхность'!$B$4:$BA$4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0.4</c:v>
                </c:pt>
                <c:pt idx="4">
                  <c:v>0.60000000000000009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1.5999999999999999</c:v>
                </c:pt>
                <c:pt idx="10">
                  <c:v>1.7999999999999998</c:v>
                </c:pt>
                <c:pt idx="11">
                  <c:v>1.9999999999999998</c:v>
                </c:pt>
                <c:pt idx="12">
                  <c:v>2.1999999999999997</c:v>
                </c:pt>
                <c:pt idx="13">
                  <c:v>2.4</c:v>
                </c:pt>
                <c:pt idx="14">
                  <c:v>2.6</c:v>
                </c:pt>
                <c:pt idx="15">
                  <c:v>2.8000000000000003</c:v>
                </c:pt>
                <c:pt idx="16">
                  <c:v>3.0000000000000004</c:v>
                </c:pt>
                <c:pt idx="17">
                  <c:v>3.2000000000000006</c:v>
                </c:pt>
                <c:pt idx="18">
                  <c:v>3.4000000000000008</c:v>
                </c:pt>
                <c:pt idx="19">
                  <c:v>3.600000000000001</c:v>
                </c:pt>
                <c:pt idx="20">
                  <c:v>3.8000000000000012</c:v>
                </c:pt>
                <c:pt idx="21">
                  <c:v>4.0000000000000009</c:v>
                </c:pt>
                <c:pt idx="22">
                  <c:v>4.2000000000000011</c:v>
                </c:pt>
                <c:pt idx="23">
                  <c:v>4.4000000000000012</c:v>
                </c:pt>
                <c:pt idx="24">
                  <c:v>4.6000000000000014</c:v>
                </c:pt>
                <c:pt idx="25">
                  <c:v>4.8000000000000016</c:v>
                </c:pt>
                <c:pt idx="26">
                  <c:v>5.0000000000000018</c:v>
                </c:pt>
                <c:pt idx="27">
                  <c:v>5.200000000000002</c:v>
                </c:pt>
                <c:pt idx="28">
                  <c:v>5.4000000000000021</c:v>
                </c:pt>
                <c:pt idx="29">
                  <c:v>5.6000000000000023</c:v>
                </c:pt>
                <c:pt idx="30">
                  <c:v>5.8000000000000025</c:v>
                </c:pt>
                <c:pt idx="31">
                  <c:v>6.0000000000000027</c:v>
                </c:pt>
                <c:pt idx="32">
                  <c:v>6.2000000000000028</c:v>
                </c:pt>
                <c:pt idx="33">
                  <c:v>6.400000000000003</c:v>
                </c:pt>
                <c:pt idx="34">
                  <c:v>6.6000000000000032</c:v>
                </c:pt>
                <c:pt idx="35">
                  <c:v>6.8000000000000034</c:v>
                </c:pt>
                <c:pt idx="36">
                  <c:v>7.0000000000000036</c:v>
                </c:pt>
                <c:pt idx="37">
                  <c:v>7.2000000000000037</c:v>
                </c:pt>
                <c:pt idx="38">
                  <c:v>7.4000000000000039</c:v>
                </c:pt>
                <c:pt idx="39">
                  <c:v>7.6000000000000041</c:v>
                </c:pt>
                <c:pt idx="40">
                  <c:v>7.8000000000000043</c:v>
                </c:pt>
                <c:pt idx="41">
                  <c:v>8.0000000000000036</c:v>
                </c:pt>
                <c:pt idx="42">
                  <c:v>8.2000000000000028</c:v>
                </c:pt>
                <c:pt idx="43">
                  <c:v>8.4000000000000021</c:v>
                </c:pt>
                <c:pt idx="44">
                  <c:v>8.6000000000000014</c:v>
                </c:pt>
                <c:pt idx="45">
                  <c:v>8.8000000000000007</c:v>
                </c:pt>
                <c:pt idx="46">
                  <c:v>9</c:v>
                </c:pt>
                <c:pt idx="47">
                  <c:v>9.1999999999999993</c:v>
                </c:pt>
                <c:pt idx="48">
                  <c:v>9.3999999999999986</c:v>
                </c:pt>
                <c:pt idx="49">
                  <c:v>9.5999999999999979</c:v>
                </c:pt>
                <c:pt idx="50">
                  <c:v>9.7999999999999972</c:v>
                </c:pt>
                <c:pt idx="51">
                  <c:v>9.9999999999999964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5-4B6B-B734-09962E9CFE5D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'Нелинейная поверхность'!$B$5:$BA$5</c:f>
              <c:numCache>
                <c:formatCode>General</c:formatCode>
                <c:ptCount val="52"/>
                <c:pt idx="0">
                  <c:v>0</c:v>
                </c:pt>
                <c:pt idx="1">
                  <c:v>3.6108939487603493</c:v>
                </c:pt>
                <c:pt idx="2">
                  <c:v>3.674506523157179</c:v>
                </c:pt>
                <c:pt idx="3">
                  <c:v>3.7781047184427736</c:v>
                </c:pt>
                <c:pt idx="4">
                  <c:v>3.9216885346171333</c:v>
                </c:pt>
                <c:pt idx="5">
                  <c:v>4.105257971680258</c:v>
                </c:pt>
                <c:pt idx="6">
                  <c:v>4.3288130296321468</c:v>
                </c:pt>
                <c:pt idx="7">
                  <c:v>4.5923537084728014</c:v>
                </c:pt>
                <c:pt idx="8">
                  <c:v>4.8958800082022202</c:v>
                </c:pt>
                <c:pt idx="9">
                  <c:v>5.2393919288204049</c:v>
                </c:pt>
                <c:pt idx="10">
                  <c:v>5.6228894703273546</c:v>
                </c:pt>
                <c:pt idx="11">
                  <c:v>6.0463726327230685</c:v>
                </c:pt>
                <c:pt idx="12">
                  <c:v>6.5098414160075482</c:v>
                </c:pt>
                <c:pt idx="13">
                  <c:v>7.013295820180792</c:v>
                </c:pt>
                <c:pt idx="14">
                  <c:v>7.5567358452428017</c:v>
                </c:pt>
                <c:pt idx="15">
                  <c:v>8.1401614911935773</c:v>
                </c:pt>
                <c:pt idx="16">
                  <c:v>8.7635727580331171</c:v>
                </c:pt>
                <c:pt idx="17">
                  <c:v>9.4269696457614209</c:v>
                </c:pt>
                <c:pt idx="18">
                  <c:v>10.130352154378492</c:v>
                </c:pt>
                <c:pt idx="19">
                  <c:v>10.873720283884325</c:v>
                </c:pt>
                <c:pt idx="20">
                  <c:v>11.657074034278926</c:v>
                </c:pt>
                <c:pt idx="21">
                  <c:v>12.480413405562288</c:v>
                </c:pt>
                <c:pt idx="22">
                  <c:v>13.343738397734418</c:v>
                </c:pt>
                <c:pt idx="23">
                  <c:v>14.247049010795314</c:v>
                </c:pt>
                <c:pt idx="24">
                  <c:v>15.190345244744975</c:v>
                </c:pt>
                <c:pt idx="25">
                  <c:v>16.173627099583399</c:v>
                </c:pt>
                <c:pt idx="26">
                  <c:v>17.196894575310587</c:v>
                </c:pt>
                <c:pt idx="27">
                  <c:v>18.260147671926546</c:v>
                </c:pt>
                <c:pt idx="28">
                  <c:v>19.363386389431263</c:v>
                </c:pt>
                <c:pt idx="29">
                  <c:v>20.50661072782475</c:v>
                </c:pt>
                <c:pt idx="30">
                  <c:v>21.689820687107002</c:v>
                </c:pt>
                <c:pt idx="31">
                  <c:v>22.913016267278014</c:v>
                </c:pt>
                <c:pt idx="32">
                  <c:v>24.176197468337794</c:v>
                </c:pt>
                <c:pt idx="33">
                  <c:v>25.479364290286341</c:v>
                </c:pt>
                <c:pt idx="34">
                  <c:v>26.822516733123653</c:v>
                </c:pt>
                <c:pt idx="35">
                  <c:v>28.205654796849728</c:v>
                </c:pt>
                <c:pt idx="36">
                  <c:v>29.628778481464568</c:v>
                </c:pt>
                <c:pt idx="37">
                  <c:v>31.091887786968172</c:v>
                </c:pt>
                <c:pt idx="38">
                  <c:v>32.594982713360544</c:v>
                </c:pt>
                <c:pt idx="39">
                  <c:v>34.13806326064168</c:v>
                </c:pt>
                <c:pt idx="40">
                  <c:v>35.721129428811579</c:v>
                </c:pt>
                <c:pt idx="41">
                  <c:v>37.344181217870236</c:v>
                </c:pt>
                <c:pt idx="42">
                  <c:v>39.007218627817664</c:v>
                </c:pt>
                <c:pt idx="43">
                  <c:v>40.71024165865385</c:v>
                </c:pt>
                <c:pt idx="44">
                  <c:v>42.453250310378799</c:v>
                </c:pt>
                <c:pt idx="45">
                  <c:v>44.236244582992519</c:v>
                </c:pt>
                <c:pt idx="46">
                  <c:v>46.059224476495004</c:v>
                </c:pt>
                <c:pt idx="47">
                  <c:v>47.922189990886245</c:v>
                </c:pt>
                <c:pt idx="48">
                  <c:v>49.825141126166258</c:v>
                </c:pt>
                <c:pt idx="49">
                  <c:v>51.768077882335035</c:v>
                </c:pt>
                <c:pt idx="50">
                  <c:v>53.751000259392576</c:v>
                </c:pt>
                <c:pt idx="51">
                  <c:v>55.773908257338881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5-4B6B-B734-09962E9CFE5D}"/>
            </c:ext>
          </c:extLst>
        </c:ser>
        <c:ser>
          <c:idx val="2"/>
          <c:order val="2"/>
          <c:spPr>
            <a:ln w="9525" cap="rnd">
              <a:solidFill>
                <a:schemeClr val="accent3"/>
              </a:solidFill>
              <a:round/>
            </a:ln>
            <a:effectLst/>
          </c:spPr>
          <c:val>
            <c:numRef>
              <c:f>'Нелинейная поверхность'!$B$6:$BA$6</c:f>
              <c:numCache>
                <c:formatCode>General</c:formatCode>
                <c:ptCount val="52"/>
                <c:pt idx="0">
                  <c:v>0.2</c:v>
                </c:pt>
                <c:pt idx="1">
                  <c:v>3.7399401514095372</c:v>
                </c:pt>
                <c:pt idx="2">
                  <c:v>3.8216280167386869</c:v>
                </c:pt>
                <c:pt idx="3">
                  <c:v>3.9433015029566016</c:v>
                </c:pt>
                <c:pt idx="4">
                  <c:v>4.1049606100632801</c:v>
                </c:pt>
                <c:pt idx="5">
                  <c:v>4.3066053380587253</c:v>
                </c:pt>
                <c:pt idx="6">
                  <c:v>4.5482356869429346</c:v>
                </c:pt>
                <c:pt idx="7">
                  <c:v>4.8298516567159089</c:v>
                </c:pt>
                <c:pt idx="8">
                  <c:v>5.1514532473776473</c:v>
                </c:pt>
                <c:pt idx="9">
                  <c:v>5.5130404589281525</c:v>
                </c:pt>
                <c:pt idx="10">
                  <c:v>5.9146132913674219</c:v>
                </c:pt>
                <c:pt idx="11">
                  <c:v>6.3561717446954562</c:v>
                </c:pt>
                <c:pt idx="12">
                  <c:v>6.8377158189122555</c:v>
                </c:pt>
                <c:pt idx="13">
                  <c:v>7.3592455140178199</c:v>
                </c:pt>
                <c:pt idx="14">
                  <c:v>7.9207608300121493</c:v>
                </c:pt>
                <c:pt idx="15">
                  <c:v>8.5222617668952427</c:v>
                </c:pt>
                <c:pt idx="16">
                  <c:v>9.1637483246671056</c:v>
                </c:pt>
                <c:pt idx="17">
                  <c:v>9.8452205033277291</c:v>
                </c:pt>
                <c:pt idx="18">
                  <c:v>10.566678302877119</c:v>
                </c:pt>
                <c:pt idx="19">
                  <c:v>11.328121723315274</c:v>
                </c:pt>
                <c:pt idx="20">
                  <c:v>12.129550764642195</c:v>
                </c:pt>
                <c:pt idx="21">
                  <c:v>12.970965426857878</c:v>
                </c:pt>
                <c:pt idx="22">
                  <c:v>13.852365709962326</c:v>
                </c:pt>
                <c:pt idx="23">
                  <c:v>14.773751613955541</c:v>
                </c:pt>
                <c:pt idx="24">
                  <c:v>15.735123138837524</c:v>
                </c:pt>
                <c:pt idx="25">
                  <c:v>16.73648028460827</c:v>
                </c:pt>
                <c:pt idx="26">
                  <c:v>17.777823051267777</c:v>
                </c:pt>
                <c:pt idx="27">
                  <c:v>18.859151438816053</c:v>
                </c:pt>
                <c:pt idx="28">
                  <c:v>19.980465447253092</c:v>
                </c:pt>
                <c:pt idx="29">
                  <c:v>21.141765076578896</c:v>
                </c:pt>
                <c:pt idx="30">
                  <c:v>22.34305032679347</c:v>
                </c:pt>
                <c:pt idx="31">
                  <c:v>23.584321197896802</c:v>
                </c:pt>
                <c:pt idx="32">
                  <c:v>24.865577689888905</c:v>
                </c:pt>
                <c:pt idx="33">
                  <c:v>26.186819802769769</c:v>
                </c:pt>
                <c:pt idx="34">
                  <c:v>27.5480475365394</c:v>
                </c:pt>
                <c:pt idx="35">
                  <c:v>28.949260891197795</c:v>
                </c:pt>
                <c:pt idx="36">
                  <c:v>30.390459866744955</c:v>
                </c:pt>
                <c:pt idx="37">
                  <c:v>31.871644463180882</c:v>
                </c:pt>
                <c:pt idx="38">
                  <c:v>33.39281468050558</c:v>
                </c:pt>
                <c:pt idx="39">
                  <c:v>34.953970518719032</c:v>
                </c:pt>
                <c:pt idx="40">
                  <c:v>36.555111977821255</c:v>
                </c:pt>
                <c:pt idx="41">
                  <c:v>38.196239057812228</c:v>
                </c:pt>
                <c:pt idx="42">
                  <c:v>39.877351758691979</c:v>
                </c:pt>
                <c:pt idx="43">
                  <c:v>41.598450080460481</c:v>
                </c:pt>
                <c:pt idx="44">
                  <c:v>43.359534023117753</c:v>
                </c:pt>
                <c:pt idx="45">
                  <c:v>45.160603586663797</c:v>
                </c:pt>
                <c:pt idx="46">
                  <c:v>47.00165877109859</c:v>
                </c:pt>
                <c:pt idx="47">
                  <c:v>48.882699576422162</c:v>
                </c:pt>
                <c:pt idx="48">
                  <c:v>50.803726002634491</c:v>
                </c:pt>
                <c:pt idx="49">
                  <c:v>52.764738049735584</c:v>
                </c:pt>
                <c:pt idx="50">
                  <c:v>54.765735717725448</c:v>
                </c:pt>
                <c:pt idx="51">
                  <c:v>56.806719006604077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85-4B6B-B734-09962E9CFE5D}"/>
            </c:ext>
          </c:extLst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/>
          </c:spPr>
          <c:val>
            <c:numRef>
              <c:f>'Нелинейная поверхность'!$B$7:$BA$7</c:f>
              <c:numCache>
                <c:formatCode>General</c:formatCode>
                <c:ptCount val="52"/>
                <c:pt idx="0">
                  <c:v>0.4</c:v>
                </c:pt>
                <c:pt idx="1">
                  <c:v>3.9044479845918252</c:v>
                </c:pt>
                <c:pt idx="2">
                  <c:v>4.004211140853295</c:v>
                </c:pt>
                <c:pt idx="3">
                  <c:v>4.1439599180035298</c:v>
                </c:pt>
                <c:pt idx="4">
                  <c:v>4.3236943160425296</c:v>
                </c:pt>
                <c:pt idx="5">
                  <c:v>4.5434143349702945</c:v>
                </c:pt>
                <c:pt idx="6">
                  <c:v>4.8031199747868234</c:v>
                </c:pt>
                <c:pt idx="7">
                  <c:v>5.1028112354921173</c:v>
                </c:pt>
                <c:pt idx="8">
                  <c:v>5.4424881170861772</c:v>
                </c:pt>
                <c:pt idx="9">
                  <c:v>5.8221506195690012</c:v>
                </c:pt>
                <c:pt idx="10">
                  <c:v>6.241798742940591</c:v>
                </c:pt>
                <c:pt idx="11">
                  <c:v>6.701432487200945</c:v>
                </c:pt>
                <c:pt idx="12">
                  <c:v>7.201051852350064</c:v>
                </c:pt>
                <c:pt idx="13">
                  <c:v>7.7406568383879488</c:v>
                </c:pt>
                <c:pt idx="14">
                  <c:v>8.3202474453145996</c:v>
                </c:pt>
                <c:pt idx="15">
                  <c:v>8.9398236731300145</c:v>
                </c:pt>
                <c:pt idx="16">
                  <c:v>9.5993855218341935</c:v>
                </c:pt>
                <c:pt idx="17">
                  <c:v>10.298932991427138</c:v>
                </c:pt>
                <c:pt idx="18">
                  <c:v>11.038466081908849</c:v>
                </c:pt>
                <c:pt idx="19">
                  <c:v>11.817984793279324</c:v>
                </c:pt>
                <c:pt idx="20">
                  <c:v>12.637489125538565</c:v>
                </c:pt>
                <c:pt idx="21">
                  <c:v>13.496979078686568</c:v>
                </c:pt>
                <c:pt idx="22">
                  <c:v>14.396454652723337</c:v>
                </c:pt>
                <c:pt idx="23">
                  <c:v>15.335915847648874</c:v>
                </c:pt>
                <c:pt idx="24">
                  <c:v>16.315362663463173</c:v>
                </c:pt>
                <c:pt idx="25">
                  <c:v>17.334795100166239</c:v>
                </c:pt>
                <c:pt idx="26">
                  <c:v>18.394213157758067</c:v>
                </c:pt>
                <c:pt idx="27">
                  <c:v>19.493616836238662</c:v>
                </c:pt>
                <c:pt idx="28">
                  <c:v>20.633006135608024</c:v>
                </c:pt>
                <c:pt idx="29">
                  <c:v>21.812381055866148</c:v>
                </c:pt>
                <c:pt idx="30">
                  <c:v>23.031741597013038</c:v>
                </c:pt>
                <c:pt idx="31">
                  <c:v>24.29108775904869</c:v>
                </c:pt>
                <c:pt idx="32">
                  <c:v>25.590419541973112</c:v>
                </c:pt>
                <c:pt idx="33">
                  <c:v>26.929736945786299</c:v>
                </c:pt>
                <c:pt idx="34">
                  <c:v>28.30903997048825</c:v>
                </c:pt>
                <c:pt idx="35">
                  <c:v>29.728328616078965</c:v>
                </c:pt>
                <c:pt idx="36">
                  <c:v>31.187602882558448</c:v>
                </c:pt>
                <c:pt idx="37">
                  <c:v>32.686862769926691</c:v>
                </c:pt>
                <c:pt idx="38">
                  <c:v>34.226108278183702</c:v>
                </c:pt>
                <c:pt idx="39">
                  <c:v>35.805339407329484</c:v>
                </c:pt>
                <c:pt idx="40">
                  <c:v>37.424556157364023</c:v>
                </c:pt>
                <c:pt idx="41">
                  <c:v>39.083758528287319</c:v>
                </c:pt>
                <c:pt idx="42">
                  <c:v>40.782946520099387</c:v>
                </c:pt>
                <c:pt idx="43">
                  <c:v>42.522120132800204</c:v>
                </c:pt>
                <c:pt idx="44">
                  <c:v>44.301279366389799</c:v>
                </c:pt>
                <c:pt idx="45">
                  <c:v>46.120424220868159</c:v>
                </c:pt>
                <c:pt idx="46">
                  <c:v>47.979554696235276</c:v>
                </c:pt>
                <c:pt idx="47">
                  <c:v>49.878670792491164</c:v>
                </c:pt>
                <c:pt idx="48">
                  <c:v>51.817772509635823</c:v>
                </c:pt>
                <c:pt idx="49">
                  <c:v>53.796859847669232</c:v>
                </c:pt>
                <c:pt idx="50">
                  <c:v>55.81593280659142</c:v>
                </c:pt>
                <c:pt idx="51">
                  <c:v>57.874991386402357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85-4B6B-B734-09962E9CFE5D}"/>
            </c:ext>
          </c:extLst>
        </c:ser>
        <c:ser>
          <c:idx val="4"/>
          <c:order val="4"/>
          <c:spPr>
            <a:ln w="9525" cap="rnd">
              <a:solidFill>
                <a:schemeClr val="accent5"/>
              </a:solidFill>
              <a:round/>
            </a:ln>
            <a:effectLst/>
          </c:spPr>
          <c:val>
            <c:numRef>
              <c:f>'Нелинейная поверхность'!$B$8:$BA$8</c:f>
              <c:numCache>
                <c:formatCode>General</c:formatCode>
                <c:ptCount val="52"/>
                <c:pt idx="0">
                  <c:v>0.60000000000000009</c:v>
                </c:pt>
                <c:pt idx="1">
                  <c:v>4.1044174483072124</c:v>
                </c:pt>
                <c:pt idx="2">
                  <c:v>4.2222558955010019</c:v>
                </c:pt>
                <c:pt idx="3">
                  <c:v>4.3800799635835572</c:v>
                </c:pt>
                <c:pt idx="4">
                  <c:v>4.5778896525548767</c:v>
                </c:pt>
                <c:pt idx="5">
                  <c:v>4.815684962414962</c:v>
                </c:pt>
                <c:pt idx="6">
                  <c:v>5.0934658931638106</c:v>
                </c:pt>
                <c:pt idx="7">
                  <c:v>5.411232444801426</c:v>
                </c:pt>
                <c:pt idx="8">
                  <c:v>5.7689846173278045</c:v>
                </c:pt>
                <c:pt idx="9">
                  <c:v>6.1667224107429508</c:v>
                </c:pt>
                <c:pt idx="10">
                  <c:v>6.6044458250468585</c:v>
                </c:pt>
                <c:pt idx="11">
                  <c:v>7.0821548602395321</c:v>
                </c:pt>
                <c:pt idx="12">
                  <c:v>7.5998495163209725</c:v>
                </c:pt>
                <c:pt idx="13">
                  <c:v>8.157529793291177</c:v>
                </c:pt>
                <c:pt idx="14">
                  <c:v>8.7551956911501474</c:v>
                </c:pt>
                <c:pt idx="15">
                  <c:v>9.3928472098978819</c:v>
                </c:pt>
                <c:pt idx="16">
                  <c:v>10.070484349534384</c:v>
                </c:pt>
                <c:pt idx="17">
                  <c:v>10.788107110059649</c:v>
                </c:pt>
                <c:pt idx="18">
                  <c:v>11.545715491473677</c:v>
                </c:pt>
                <c:pt idx="19">
                  <c:v>12.343309493776472</c:v>
                </c:pt>
                <c:pt idx="20">
                  <c:v>13.180889116968032</c:v>
                </c:pt>
                <c:pt idx="21">
                  <c:v>14.058454361048357</c:v>
                </c:pt>
                <c:pt idx="22">
                  <c:v>14.976005226017444</c:v>
                </c:pt>
                <c:pt idx="23">
                  <c:v>15.9335417118753</c:v>
                </c:pt>
                <c:pt idx="24">
                  <c:v>16.931063818621922</c:v>
                </c:pt>
                <c:pt idx="25">
                  <c:v>17.968571546257309</c:v>
                </c:pt>
                <c:pt idx="26">
                  <c:v>19.046064894781455</c:v>
                </c:pt>
                <c:pt idx="27">
                  <c:v>20.163543864194374</c:v>
                </c:pt>
                <c:pt idx="28">
                  <c:v>21.321008454496052</c:v>
                </c:pt>
                <c:pt idx="29">
                  <c:v>22.518458665686495</c:v>
                </c:pt>
                <c:pt idx="30">
                  <c:v>23.755894497765709</c:v>
                </c:pt>
                <c:pt idx="31">
                  <c:v>25.033315950733684</c:v>
                </c:pt>
                <c:pt idx="32">
                  <c:v>26.350723024590422</c:v>
                </c:pt>
                <c:pt idx="33">
                  <c:v>27.708115719335929</c:v>
                </c:pt>
                <c:pt idx="34">
                  <c:v>29.105494034970203</c:v>
                </c:pt>
                <c:pt idx="35">
                  <c:v>30.542857971493238</c:v>
                </c:pt>
                <c:pt idx="36">
                  <c:v>32.02020752890504</c:v>
                </c:pt>
                <c:pt idx="37">
                  <c:v>33.537542707205603</c:v>
                </c:pt>
                <c:pt idx="38">
                  <c:v>35.09486350639493</c:v>
                </c:pt>
                <c:pt idx="39">
                  <c:v>36.692169926473028</c:v>
                </c:pt>
                <c:pt idx="40">
                  <c:v>38.32946196743989</c:v>
                </c:pt>
                <c:pt idx="41">
                  <c:v>40.00673962929551</c:v>
                </c:pt>
                <c:pt idx="42">
                  <c:v>41.724002912039893</c:v>
                </c:pt>
                <c:pt idx="43">
                  <c:v>43.481251815673041</c:v>
                </c:pt>
                <c:pt idx="44">
                  <c:v>45.278486340194952</c:v>
                </c:pt>
                <c:pt idx="45">
                  <c:v>47.115706485605628</c:v>
                </c:pt>
                <c:pt idx="46">
                  <c:v>48.992912251905075</c:v>
                </c:pt>
                <c:pt idx="47">
                  <c:v>50.910103639093279</c:v>
                </c:pt>
                <c:pt idx="48">
                  <c:v>52.867280647170247</c:v>
                </c:pt>
                <c:pt idx="49">
                  <c:v>54.864443276135987</c:v>
                </c:pt>
                <c:pt idx="50">
                  <c:v>56.90159152599049</c:v>
                </c:pt>
                <c:pt idx="51">
                  <c:v>58.978725396733751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85-4B6B-B734-09962E9CFE5D}"/>
            </c:ext>
          </c:extLst>
        </c:ser>
        <c:ser>
          <c:idx val="5"/>
          <c:order val="5"/>
          <c:spPr>
            <a:ln w="9525" cap="rnd">
              <a:solidFill>
                <a:schemeClr val="accent6"/>
              </a:solidFill>
              <a:round/>
            </a:ln>
            <a:effectLst/>
          </c:spPr>
          <c:val>
            <c:numRef>
              <c:f>'Нелинейная поверхность'!$B$9:$BA$9</c:f>
              <c:numCache>
                <c:formatCode>General</c:formatCode>
                <c:ptCount val="52"/>
                <c:pt idx="0">
                  <c:v>0.8</c:v>
                </c:pt>
                <c:pt idx="1">
                  <c:v>4.3398485425557016</c:v>
                </c:pt>
                <c:pt idx="2">
                  <c:v>4.4757622806818107</c:v>
                </c:pt>
                <c:pt idx="3">
                  <c:v>4.6516616396966866</c:v>
                </c:pt>
                <c:pt idx="4">
                  <c:v>4.8675466196003256</c:v>
                </c:pt>
                <c:pt idx="5">
                  <c:v>5.1234172203927315</c:v>
                </c:pt>
                <c:pt idx="6">
                  <c:v>5.4192734420739006</c:v>
                </c:pt>
                <c:pt idx="7">
                  <c:v>5.7551152846438338</c:v>
                </c:pt>
                <c:pt idx="8">
                  <c:v>6.1309427481025338</c:v>
                </c:pt>
                <c:pt idx="9">
                  <c:v>6.5467558324499988</c:v>
                </c:pt>
                <c:pt idx="10">
                  <c:v>7.0025545376862288</c:v>
                </c:pt>
                <c:pt idx="11">
                  <c:v>7.4983388638112229</c:v>
                </c:pt>
                <c:pt idx="12">
                  <c:v>8.0341088108249821</c:v>
                </c:pt>
                <c:pt idx="13">
                  <c:v>8.609864378727508</c:v>
                </c:pt>
                <c:pt idx="14">
                  <c:v>9.225605567518798</c:v>
                </c:pt>
                <c:pt idx="15">
                  <c:v>9.8813323771988522</c:v>
                </c:pt>
                <c:pt idx="16">
                  <c:v>10.577044807767674</c:v>
                </c:pt>
                <c:pt idx="17">
                  <c:v>11.312742859225256</c:v>
                </c:pt>
                <c:pt idx="18">
                  <c:v>12.088426531571606</c:v>
                </c:pt>
                <c:pt idx="19">
                  <c:v>12.904095824806724</c:v>
                </c:pt>
                <c:pt idx="20">
                  <c:v>13.759750738930602</c:v>
                </c:pt>
                <c:pt idx="21">
                  <c:v>14.655391273943248</c:v>
                </c:pt>
                <c:pt idx="22">
                  <c:v>15.591017429844655</c:v>
                </c:pt>
                <c:pt idx="23">
                  <c:v>16.566629206634833</c:v>
                </c:pt>
                <c:pt idx="24">
                  <c:v>17.582226604313774</c:v>
                </c:pt>
                <c:pt idx="25">
                  <c:v>18.63780962288148</c:v>
                </c:pt>
                <c:pt idx="26">
                  <c:v>19.733378262337947</c:v>
                </c:pt>
                <c:pt idx="27">
                  <c:v>20.868932522683185</c:v>
                </c:pt>
                <c:pt idx="28">
                  <c:v>22.044472403917183</c:v>
                </c:pt>
                <c:pt idx="29">
                  <c:v>23.259997906039949</c:v>
                </c:pt>
                <c:pt idx="30">
                  <c:v>24.515509029051479</c:v>
                </c:pt>
                <c:pt idx="31">
                  <c:v>25.811005772951777</c:v>
                </c:pt>
                <c:pt idx="32">
                  <c:v>27.146488137740835</c:v>
                </c:pt>
                <c:pt idx="33">
                  <c:v>28.521956123418661</c:v>
                </c:pt>
                <c:pt idx="34">
                  <c:v>29.937409729985255</c:v>
                </c:pt>
                <c:pt idx="35">
                  <c:v>31.392848957440609</c:v>
                </c:pt>
                <c:pt idx="36">
                  <c:v>32.888273805784728</c:v>
                </c:pt>
                <c:pt idx="37">
                  <c:v>34.423684275017614</c:v>
                </c:pt>
                <c:pt idx="38">
                  <c:v>35.999080365139264</c:v>
                </c:pt>
                <c:pt idx="39">
                  <c:v>37.614462076149678</c:v>
                </c:pt>
                <c:pt idx="40">
                  <c:v>39.269829408048864</c:v>
                </c:pt>
                <c:pt idx="41">
                  <c:v>40.965182360836799</c:v>
                </c:pt>
                <c:pt idx="42">
                  <c:v>42.700520934513506</c:v>
                </c:pt>
                <c:pt idx="43">
                  <c:v>44.475845129078969</c:v>
                </c:pt>
                <c:pt idx="44">
                  <c:v>46.291154944533197</c:v>
                </c:pt>
                <c:pt idx="45">
                  <c:v>48.146450380876203</c:v>
                </c:pt>
                <c:pt idx="46">
                  <c:v>50.041731438107966</c:v>
                </c:pt>
                <c:pt idx="47">
                  <c:v>51.976998116228486</c:v>
                </c:pt>
                <c:pt idx="48">
                  <c:v>53.952250415237778</c:v>
                </c:pt>
                <c:pt idx="49">
                  <c:v>55.967488335135833</c:v>
                </c:pt>
                <c:pt idx="50">
                  <c:v>58.02271187592266</c:v>
                </c:pt>
                <c:pt idx="51">
                  <c:v>60.117921037598244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85-4B6B-B734-09962E9CFE5D}"/>
            </c:ext>
          </c:extLst>
        </c:ser>
        <c:ser>
          <c:idx val="6"/>
          <c:order val="6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поверхность'!$B$10:$BA$10</c:f>
              <c:numCache>
                <c:formatCode>General</c:formatCode>
                <c:ptCount val="52"/>
                <c:pt idx="0">
                  <c:v>1</c:v>
                </c:pt>
                <c:pt idx="1">
                  <c:v>4.6107412673372892</c:v>
                </c:pt>
                <c:pt idx="2">
                  <c:v>4.7647302963957188</c:v>
                </c:pt>
                <c:pt idx="3">
                  <c:v>4.9587049463429143</c:v>
                </c:pt>
                <c:pt idx="4">
                  <c:v>5.192665217178873</c:v>
                </c:pt>
                <c:pt idx="5">
                  <c:v>5.4666111089035994</c:v>
                </c:pt>
                <c:pt idx="6">
                  <c:v>5.7805426215170881</c:v>
                </c:pt>
                <c:pt idx="7">
                  <c:v>6.1344597550193418</c:v>
                </c:pt>
                <c:pt idx="8">
                  <c:v>6.5283625094103623</c:v>
                </c:pt>
                <c:pt idx="9">
                  <c:v>6.962250884690147</c:v>
                </c:pt>
                <c:pt idx="10">
                  <c:v>7.4361248808586975</c:v>
                </c:pt>
                <c:pt idx="11">
                  <c:v>7.9499844979160113</c:v>
                </c:pt>
                <c:pt idx="12">
                  <c:v>8.5038297358620909</c:v>
                </c:pt>
                <c:pt idx="13">
                  <c:v>9.0976605946969347</c:v>
                </c:pt>
                <c:pt idx="14">
                  <c:v>9.7314770744205461</c:v>
                </c:pt>
                <c:pt idx="15">
                  <c:v>10.405279175032922</c:v>
                </c:pt>
                <c:pt idx="16">
                  <c:v>11.119066896534061</c:v>
                </c:pt>
                <c:pt idx="17">
                  <c:v>11.872840238923965</c:v>
                </c:pt>
                <c:pt idx="18">
                  <c:v>12.666599202202638</c:v>
                </c:pt>
                <c:pt idx="19">
                  <c:v>13.50034378637007</c:v>
                </c:pt>
                <c:pt idx="20">
                  <c:v>14.374073991426272</c:v>
                </c:pt>
                <c:pt idx="21">
                  <c:v>15.287789817371234</c:v>
                </c:pt>
                <c:pt idx="22">
                  <c:v>16.241491264204964</c:v>
                </c:pt>
                <c:pt idx="23">
                  <c:v>17.235178331927461</c:v>
                </c:pt>
                <c:pt idx="24">
                  <c:v>18.268851020538722</c:v>
                </c:pt>
                <c:pt idx="25">
                  <c:v>19.342509330038748</c:v>
                </c:pt>
                <c:pt idx="26">
                  <c:v>20.456153260427534</c:v>
                </c:pt>
                <c:pt idx="27">
                  <c:v>21.609782811705095</c:v>
                </c:pt>
                <c:pt idx="28">
                  <c:v>22.803397983871413</c:v>
                </c:pt>
                <c:pt idx="29">
                  <c:v>24.036998776926499</c:v>
                </c:pt>
                <c:pt idx="30">
                  <c:v>25.310585190870352</c:v>
                </c:pt>
                <c:pt idx="31">
                  <c:v>26.624157225702962</c:v>
                </c:pt>
                <c:pt idx="32">
                  <c:v>27.977714881424344</c:v>
                </c:pt>
                <c:pt idx="33">
                  <c:v>29.371258158034493</c:v>
                </c:pt>
                <c:pt idx="34">
                  <c:v>30.804787055533403</c:v>
                </c:pt>
                <c:pt idx="35">
                  <c:v>32.278301573921077</c:v>
                </c:pt>
                <c:pt idx="36">
                  <c:v>33.791801713197522</c:v>
                </c:pt>
                <c:pt idx="37">
                  <c:v>35.345287473362724</c:v>
                </c:pt>
                <c:pt idx="38">
                  <c:v>36.938758854416697</c:v>
                </c:pt>
                <c:pt idx="39">
                  <c:v>38.572215856359435</c:v>
                </c:pt>
                <c:pt idx="40">
                  <c:v>40.245658479190936</c:v>
                </c:pt>
                <c:pt idx="41">
                  <c:v>41.959086722911188</c:v>
                </c:pt>
                <c:pt idx="42">
                  <c:v>43.712500587520218</c:v>
                </c:pt>
                <c:pt idx="43">
                  <c:v>45.505900073018005</c:v>
                </c:pt>
                <c:pt idx="44">
                  <c:v>47.339285179404555</c:v>
                </c:pt>
                <c:pt idx="45">
                  <c:v>49.212655906679871</c:v>
                </c:pt>
                <c:pt idx="46">
                  <c:v>51.126012254843957</c:v>
                </c:pt>
                <c:pt idx="47">
                  <c:v>53.0793542238968</c:v>
                </c:pt>
                <c:pt idx="48">
                  <c:v>55.072681813838415</c:v>
                </c:pt>
                <c:pt idx="49">
                  <c:v>57.105995024668786</c:v>
                </c:pt>
                <c:pt idx="50">
                  <c:v>59.179293856387929</c:v>
                </c:pt>
                <c:pt idx="51">
                  <c:v>61.292578308995836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85-4B6B-B734-09962E9CFE5D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поверхность'!$B$11:$BA$11</c:f>
              <c:numCache>
                <c:formatCode>General</c:formatCode>
                <c:ptCount val="52"/>
                <c:pt idx="0">
                  <c:v>1.2</c:v>
                </c:pt>
                <c:pt idx="1">
                  <c:v>4.9170956226519769</c:v>
                </c:pt>
                <c:pt idx="2">
                  <c:v>5.089159942642727</c:v>
                </c:pt>
                <c:pt idx="3">
                  <c:v>5.3012098835222421</c:v>
                </c:pt>
                <c:pt idx="4">
                  <c:v>5.5532454452905222</c:v>
                </c:pt>
                <c:pt idx="5">
                  <c:v>5.8452666279475674</c:v>
                </c:pt>
                <c:pt idx="6">
                  <c:v>6.1772734314933757</c:v>
                </c:pt>
                <c:pt idx="7">
                  <c:v>6.5492658559279509</c:v>
                </c:pt>
                <c:pt idx="8">
                  <c:v>6.9612439012512901</c:v>
                </c:pt>
                <c:pt idx="9">
                  <c:v>7.4132075674633953</c:v>
                </c:pt>
                <c:pt idx="10">
                  <c:v>7.9051568545642654</c:v>
                </c:pt>
                <c:pt idx="11">
                  <c:v>8.4370917625538997</c:v>
                </c:pt>
                <c:pt idx="12">
                  <c:v>9.009012291432299</c:v>
                </c:pt>
                <c:pt idx="13">
                  <c:v>9.6209184411994642</c:v>
                </c:pt>
                <c:pt idx="14">
                  <c:v>10.272810211855395</c:v>
                </c:pt>
                <c:pt idx="15">
                  <c:v>10.964687603400089</c:v>
                </c:pt>
                <c:pt idx="16">
                  <c:v>11.696550615833551</c:v>
                </c:pt>
                <c:pt idx="17">
                  <c:v>12.468399249155775</c:v>
                </c:pt>
                <c:pt idx="18">
                  <c:v>13.280233503366766</c:v>
                </c:pt>
                <c:pt idx="19">
                  <c:v>14.132053378466521</c:v>
                </c:pt>
                <c:pt idx="20">
                  <c:v>15.023858874455042</c:v>
                </c:pt>
                <c:pt idx="21">
                  <c:v>15.955649991332326</c:v>
                </c:pt>
                <c:pt idx="22">
                  <c:v>16.927426729098375</c:v>
                </c:pt>
                <c:pt idx="23">
                  <c:v>17.939189087753192</c:v>
                </c:pt>
                <c:pt idx="24">
                  <c:v>18.990937067296773</c:v>
                </c:pt>
                <c:pt idx="25">
                  <c:v>20.082670667729118</c:v>
                </c:pt>
                <c:pt idx="26">
                  <c:v>21.214389889050224</c:v>
                </c:pt>
                <c:pt idx="27">
                  <c:v>22.386094731260101</c:v>
                </c:pt>
                <c:pt idx="28">
                  <c:v>23.597785194358742</c:v>
                </c:pt>
                <c:pt idx="29">
                  <c:v>24.849461278346148</c:v>
                </c:pt>
                <c:pt idx="30">
                  <c:v>26.141122983222317</c:v>
                </c:pt>
                <c:pt idx="31">
                  <c:v>27.472770308987251</c:v>
                </c:pt>
                <c:pt idx="32">
                  <c:v>28.844403255640955</c:v>
                </c:pt>
                <c:pt idx="33">
                  <c:v>30.256021823183417</c:v>
                </c:pt>
                <c:pt idx="34">
                  <c:v>31.70762601161465</c:v>
                </c:pt>
                <c:pt idx="35">
                  <c:v>33.199215820934647</c:v>
                </c:pt>
                <c:pt idx="36">
                  <c:v>34.730791251143408</c:v>
                </c:pt>
                <c:pt idx="37">
                  <c:v>36.302352302240934</c:v>
                </c:pt>
                <c:pt idx="38">
                  <c:v>37.91389897422723</c:v>
                </c:pt>
                <c:pt idx="39">
                  <c:v>39.565431267102284</c:v>
                </c:pt>
                <c:pt idx="40">
                  <c:v>41.256949180866101</c:v>
                </c:pt>
                <c:pt idx="41">
                  <c:v>42.988452715518683</c:v>
                </c:pt>
                <c:pt idx="42">
                  <c:v>44.759941871060029</c:v>
                </c:pt>
                <c:pt idx="43">
                  <c:v>46.571416647490125</c:v>
                </c:pt>
                <c:pt idx="44">
                  <c:v>48.422877044809006</c:v>
                </c:pt>
                <c:pt idx="45">
                  <c:v>50.314323063016644</c:v>
                </c:pt>
                <c:pt idx="46">
                  <c:v>52.24575470211304</c:v>
                </c:pt>
                <c:pt idx="47">
                  <c:v>54.217171962098206</c:v>
                </c:pt>
                <c:pt idx="48">
                  <c:v>56.228574842972144</c:v>
                </c:pt>
                <c:pt idx="49">
                  <c:v>58.279963344734831</c:v>
                </c:pt>
                <c:pt idx="50">
                  <c:v>60.371337467386297</c:v>
                </c:pt>
                <c:pt idx="51">
                  <c:v>62.502697210926527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85-4B6B-B734-09962E9CFE5D}"/>
            </c:ext>
          </c:extLst>
        </c:ser>
        <c:ser>
          <c:idx val="8"/>
          <c:order val="8"/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поверхность'!$B$12:$BA$12</c:f>
              <c:numCache>
                <c:formatCode>General</c:formatCode>
                <c:ptCount val="52"/>
                <c:pt idx="0">
                  <c:v>1.4</c:v>
                </c:pt>
                <c:pt idx="1">
                  <c:v>5.2589116084997656</c:v>
                </c:pt>
                <c:pt idx="2">
                  <c:v>5.4490512194228344</c:v>
                </c:pt>
                <c:pt idx="3">
                  <c:v>5.679176451234671</c:v>
                </c:pt>
                <c:pt idx="4">
                  <c:v>5.9492873039352698</c:v>
                </c:pt>
                <c:pt idx="5">
                  <c:v>6.2593837775246364</c:v>
                </c:pt>
                <c:pt idx="6">
                  <c:v>6.6094658720027653</c:v>
                </c:pt>
                <c:pt idx="7">
                  <c:v>6.9995335873696591</c:v>
                </c:pt>
                <c:pt idx="8">
                  <c:v>7.4295869236253189</c:v>
                </c:pt>
                <c:pt idx="9">
                  <c:v>7.8996258807697437</c:v>
                </c:pt>
                <c:pt idx="10">
                  <c:v>8.4096504588029326</c:v>
                </c:pt>
                <c:pt idx="11">
                  <c:v>8.9596606577248874</c:v>
                </c:pt>
                <c:pt idx="12">
                  <c:v>9.5496564775356081</c:v>
                </c:pt>
                <c:pt idx="13">
                  <c:v>10.179637918235093</c:v>
                </c:pt>
                <c:pt idx="14">
                  <c:v>10.849604979823345</c:v>
                </c:pt>
                <c:pt idx="15">
                  <c:v>11.55955766230036</c:v>
                </c:pt>
                <c:pt idx="16">
                  <c:v>12.309495965666139</c:v>
                </c:pt>
                <c:pt idx="17">
                  <c:v>13.099419889920684</c:v>
                </c:pt>
                <c:pt idx="18">
                  <c:v>13.929329435063996</c:v>
                </c:pt>
                <c:pt idx="19">
                  <c:v>14.799224601096071</c:v>
                </c:pt>
                <c:pt idx="20">
                  <c:v>15.709105388016912</c:v>
                </c:pt>
                <c:pt idx="21">
                  <c:v>16.658971795826513</c:v>
                </c:pt>
                <c:pt idx="22">
                  <c:v>17.648823824524886</c:v>
                </c:pt>
                <c:pt idx="23">
                  <c:v>18.678661474112022</c:v>
                </c:pt>
                <c:pt idx="24">
                  <c:v>19.74848474458792</c:v>
                </c:pt>
                <c:pt idx="25">
                  <c:v>20.858293635952588</c:v>
                </c:pt>
                <c:pt idx="26">
                  <c:v>22.008088148206017</c:v>
                </c:pt>
                <c:pt idx="27">
                  <c:v>23.197868281348214</c:v>
                </c:pt>
                <c:pt idx="28">
                  <c:v>24.427634035379175</c:v>
                </c:pt>
                <c:pt idx="29">
                  <c:v>25.697385410298899</c:v>
                </c:pt>
                <c:pt idx="30">
                  <c:v>27.007122406107392</c:v>
                </c:pt>
                <c:pt idx="31">
                  <c:v>28.356845022804645</c:v>
                </c:pt>
                <c:pt idx="32">
                  <c:v>29.746553260390662</c:v>
                </c:pt>
                <c:pt idx="33">
                  <c:v>31.176247118865454</c:v>
                </c:pt>
                <c:pt idx="34">
                  <c:v>32.645926598229003</c:v>
                </c:pt>
                <c:pt idx="35">
                  <c:v>34.155591698481324</c:v>
                </c:pt>
                <c:pt idx="36">
                  <c:v>35.705242419622401</c:v>
                </c:pt>
                <c:pt idx="37">
                  <c:v>37.294878761652242</c:v>
                </c:pt>
                <c:pt idx="38">
                  <c:v>38.924500724570848</c:v>
                </c:pt>
                <c:pt idx="39">
                  <c:v>40.594108308378232</c:v>
                </c:pt>
                <c:pt idx="40">
                  <c:v>42.303701513074373</c:v>
                </c:pt>
                <c:pt idx="41">
                  <c:v>44.05328033865927</c:v>
                </c:pt>
                <c:pt idx="42">
                  <c:v>45.842844785132939</c:v>
                </c:pt>
                <c:pt idx="43">
                  <c:v>47.672394852495358</c:v>
                </c:pt>
                <c:pt idx="44">
                  <c:v>49.541930540746556</c:v>
                </c:pt>
                <c:pt idx="45">
                  <c:v>51.45145184988651</c:v>
                </c:pt>
                <c:pt idx="46">
                  <c:v>53.400958779915229</c:v>
                </c:pt>
                <c:pt idx="47">
                  <c:v>55.390451330832718</c:v>
                </c:pt>
                <c:pt idx="48">
                  <c:v>57.419929502638972</c:v>
                </c:pt>
                <c:pt idx="49">
                  <c:v>59.489393295333983</c:v>
                </c:pt>
                <c:pt idx="50">
                  <c:v>61.598842708917772</c:v>
                </c:pt>
                <c:pt idx="51">
                  <c:v>63.748277743390311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85-4B6B-B734-09962E9CFE5D}"/>
            </c:ext>
          </c:extLst>
        </c:ser>
        <c:ser>
          <c:idx val="9"/>
          <c:order val="9"/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поверхность'!$B$13:$BA$13</c:f>
              <c:numCache>
                <c:formatCode>General</c:formatCode>
                <c:ptCount val="52"/>
                <c:pt idx="0">
                  <c:v>1.5999999999999999</c:v>
                </c:pt>
                <c:pt idx="1">
                  <c:v>5.6361892248806544</c:v>
                </c:pt>
                <c:pt idx="2">
                  <c:v>5.8444041267360447</c:v>
                </c:pt>
                <c:pt idx="3">
                  <c:v>6.0926046494801991</c:v>
                </c:pt>
                <c:pt idx="4">
                  <c:v>6.3807907931131194</c:v>
                </c:pt>
                <c:pt idx="5">
                  <c:v>6.7089625576348046</c:v>
                </c:pt>
                <c:pt idx="6">
                  <c:v>7.0771199430452532</c:v>
                </c:pt>
                <c:pt idx="7">
                  <c:v>7.4852629493444693</c:v>
                </c:pt>
                <c:pt idx="8">
                  <c:v>7.9333915765324479</c:v>
                </c:pt>
                <c:pt idx="9">
                  <c:v>8.4215058246091932</c:v>
                </c:pt>
                <c:pt idx="10">
                  <c:v>8.9496056935747017</c:v>
                </c:pt>
                <c:pt idx="11">
                  <c:v>9.5176911834289761</c:v>
                </c:pt>
                <c:pt idx="12">
                  <c:v>10.125762294172016</c:v>
                </c:pt>
                <c:pt idx="13">
                  <c:v>10.773819025803823</c:v>
                </c:pt>
                <c:pt idx="14">
                  <c:v>11.461861378324393</c:v>
                </c:pt>
                <c:pt idx="15">
                  <c:v>12.189889351733727</c:v>
                </c:pt>
                <c:pt idx="16">
                  <c:v>12.95790294603183</c:v>
                </c:pt>
                <c:pt idx="17">
                  <c:v>13.765902161218694</c:v>
                </c:pt>
                <c:pt idx="18">
                  <c:v>14.613886997294324</c:v>
                </c:pt>
                <c:pt idx="19">
                  <c:v>15.501857454258719</c:v>
                </c:pt>
                <c:pt idx="20">
                  <c:v>16.429813532111879</c:v>
                </c:pt>
                <c:pt idx="21">
                  <c:v>17.397755230853804</c:v>
                </c:pt>
                <c:pt idx="22">
                  <c:v>18.405682550484492</c:v>
                </c:pt>
                <c:pt idx="23">
                  <c:v>19.453595491003949</c:v>
                </c:pt>
                <c:pt idx="24">
                  <c:v>20.541494052412173</c:v>
                </c:pt>
                <c:pt idx="25">
                  <c:v>21.669378234709157</c:v>
                </c:pt>
                <c:pt idx="26">
                  <c:v>22.837248037894906</c:v>
                </c:pt>
                <c:pt idx="27">
                  <c:v>24.045103461969422</c:v>
                </c:pt>
                <c:pt idx="28">
                  <c:v>25.292944506932702</c:v>
                </c:pt>
                <c:pt idx="29">
                  <c:v>26.580771172784747</c:v>
                </c:pt>
                <c:pt idx="30">
                  <c:v>27.908583459525559</c:v>
                </c:pt>
                <c:pt idx="31">
                  <c:v>29.276381367155135</c:v>
                </c:pt>
                <c:pt idx="32">
                  <c:v>30.684164895673476</c:v>
                </c:pt>
                <c:pt idx="33">
                  <c:v>32.131934045080584</c:v>
                </c:pt>
                <c:pt idx="34">
                  <c:v>33.619688815376456</c:v>
                </c:pt>
                <c:pt idx="35">
                  <c:v>35.147429206561092</c:v>
                </c:pt>
                <c:pt idx="36">
                  <c:v>36.715155218634493</c:v>
                </c:pt>
                <c:pt idx="37">
                  <c:v>38.322866851596658</c:v>
                </c:pt>
                <c:pt idx="38">
                  <c:v>39.970564105447586</c:v>
                </c:pt>
                <c:pt idx="39">
                  <c:v>41.658246980187286</c:v>
                </c:pt>
                <c:pt idx="40">
                  <c:v>43.385915475815743</c:v>
                </c:pt>
                <c:pt idx="41">
                  <c:v>45.153569592332971</c:v>
                </c:pt>
                <c:pt idx="42">
                  <c:v>46.961209329738949</c:v>
                </c:pt>
                <c:pt idx="43">
                  <c:v>48.808834688033691</c:v>
                </c:pt>
                <c:pt idx="44">
                  <c:v>50.696445667217212</c:v>
                </c:pt>
                <c:pt idx="45">
                  <c:v>52.624042267289482</c:v>
                </c:pt>
                <c:pt idx="46">
                  <c:v>54.591624488250531</c:v>
                </c:pt>
                <c:pt idx="47">
                  <c:v>56.599192330100337</c:v>
                </c:pt>
                <c:pt idx="48">
                  <c:v>58.6467457928389</c:v>
                </c:pt>
                <c:pt idx="49">
                  <c:v>60.734284876466241</c:v>
                </c:pt>
                <c:pt idx="50">
                  <c:v>62.861809580982346</c:v>
                </c:pt>
                <c:pt idx="51">
                  <c:v>65.029319906387201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85-4B6B-B734-09962E9CFE5D}"/>
            </c:ext>
          </c:extLst>
        </c:ser>
        <c:ser>
          <c:idx val="10"/>
          <c:order val="10"/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поверхность'!$B$14:$BA$14</c:f>
              <c:numCache>
                <c:formatCode>General</c:formatCode>
                <c:ptCount val="52"/>
                <c:pt idx="0">
                  <c:v>1.7999999999999998</c:v>
                </c:pt>
                <c:pt idx="1">
                  <c:v>6.0489284717946425</c:v>
                </c:pt>
                <c:pt idx="2">
                  <c:v>6.2752186645823524</c:v>
                </c:pt>
                <c:pt idx="3">
                  <c:v>6.5414944782588273</c:v>
                </c:pt>
                <c:pt idx="4">
                  <c:v>6.8477559128240673</c:v>
                </c:pt>
                <c:pt idx="5">
                  <c:v>7.1940029682780731</c:v>
                </c:pt>
                <c:pt idx="6">
                  <c:v>7.5802356446208421</c:v>
                </c:pt>
                <c:pt idx="7">
                  <c:v>8.0064539418523779</c:v>
                </c:pt>
                <c:pt idx="8">
                  <c:v>8.4726578599726778</c:v>
                </c:pt>
                <c:pt idx="9">
                  <c:v>8.9788473989817419</c:v>
                </c:pt>
                <c:pt idx="10">
                  <c:v>9.5250225588795701</c:v>
                </c:pt>
                <c:pt idx="11">
                  <c:v>10.111183339666166</c:v>
                </c:pt>
                <c:pt idx="12">
                  <c:v>10.737329741341526</c:v>
                </c:pt>
                <c:pt idx="13">
                  <c:v>11.403461763905652</c:v>
                </c:pt>
                <c:pt idx="14">
                  <c:v>12.109579407358542</c:v>
                </c:pt>
                <c:pt idx="15">
                  <c:v>12.855682671700196</c:v>
                </c:pt>
                <c:pt idx="16">
                  <c:v>13.641771556930617</c:v>
                </c:pt>
                <c:pt idx="17">
                  <c:v>14.467846063049802</c:v>
                </c:pt>
                <c:pt idx="18">
                  <c:v>15.333906190057753</c:v>
                </c:pt>
                <c:pt idx="19">
                  <c:v>16.239951937954469</c:v>
                </c:pt>
                <c:pt idx="20">
                  <c:v>17.185983306739949</c:v>
                </c:pt>
                <c:pt idx="21">
                  <c:v>18.172000296414193</c:v>
                </c:pt>
                <c:pt idx="22">
                  <c:v>19.198002906977202</c:v>
                </c:pt>
                <c:pt idx="23">
                  <c:v>20.263991138428981</c:v>
                </c:pt>
                <c:pt idx="24">
                  <c:v>21.369964990769521</c:v>
                </c:pt>
                <c:pt idx="25">
                  <c:v>22.515924463998825</c:v>
                </c:pt>
                <c:pt idx="26">
                  <c:v>23.701869558116897</c:v>
                </c:pt>
                <c:pt idx="27">
                  <c:v>24.927800273123736</c:v>
                </c:pt>
                <c:pt idx="28">
                  <c:v>26.193716609019333</c:v>
                </c:pt>
                <c:pt idx="29">
                  <c:v>27.499618565803701</c:v>
                </c:pt>
                <c:pt idx="30">
                  <c:v>28.845506143476833</c:v>
                </c:pt>
                <c:pt idx="31">
                  <c:v>30.231379342038728</c:v>
                </c:pt>
                <c:pt idx="32">
                  <c:v>31.657238161489389</c:v>
                </c:pt>
                <c:pt idx="33">
                  <c:v>33.123082601828813</c:v>
                </c:pt>
                <c:pt idx="34">
                  <c:v>34.628912663057008</c:v>
                </c:pt>
                <c:pt idx="35">
                  <c:v>36.174728345173961</c:v>
                </c:pt>
                <c:pt idx="36">
                  <c:v>37.760529648179684</c:v>
                </c:pt>
                <c:pt idx="37">
                  <c:v>39.386316572074165</c:v>
                </c:pt>
                <c:pt idx="38">
                  <c:v>41.052089116857417</c:v>
                </c:pt>
                <c:pt idx="39">
                  <c:v>42.757847282529433</c:v>
                </c:pt>
                <c:pt idx="40">
                  <c:v>44.503591069090213</c:v>
                </c:pt>
                <c:pt idx="41">
                  <c:v>46.28932047653975</c:v>
                </c:pt>
                <c:pt idx="42">
                  <c:v>48.115035504878058</c:v>
                </c:pt>
                <c:pt idx="43">
                  <c:v>49.980736154105124</c:v>
                </c:pt>
                <c:pt idx="44">
                  <c:v>51.886422424220953</c:v>
                </c:pt>
                <c:pt idx="45">
                  <c:v>53.832094315225554</c:v>
                </c:pt>
                <c:pt idx="46">
                  <c:v>55.817751827118919</c:v>
                </c:pt>
                <c:pt idx="47">
                  <c:v>57.84339495990104</c:v>
                </c:pt>
                <c:pt idx="48">
                  <c:v>59.909023713571933</c:v>
                </c:pt>
                <c:pt idx="49">
                  <c:v>62.014638088131591</c:v>
                </c:pt>
                <c:pt idx="50">
                  <c:v>64.160238083580012</c:v>
                </c:pt>
                <c:pt idx="51">
                  <c:v>66.34582369991719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785-4B6B-B734-09962E9CFE5D}"/>
            </c:ext>
          </c:extLst>
        </c:ser>
        <c:ser>
          <c:idx val="11"/>
          <c:order val="11"/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поверхность'!$B$15:$BA$15</c:f>
              <c:numCache>
                <c:formatCode>General</c:formatCode>
                <c:ptCount val="52"/>
                <c:pt idx="0">
                  <c:v>1.9999999999999998</c:v>
                </c:pt>
                <c:pt idx="1">
                  <c:v>6.4971293492417317</c:v>
                </c:pt>
                <c:pt idx="2">
                  <c:v>6.7414948329617603</c:v>
                </c:pt>
                <c:pt idx="3">
                  <c:v>7.0258459375705566</c:v>
                </c:pt>
                <c:pt idx="4">
                  <c:v>7.3501826630681162</c:v>
                </c:pt>
                <c:pt idx="5">
                  <c:v>7.7145050094544425</c:v>
                </c:pt>
                <c:pt idx="6">
                  <c:v>8.1188129767295312</c:v>
                </c:pt>
                <c:pt idx="7">
                  <c:v>8.5631065648933848</c:v>
                </c:pt>
                <c:pt idx="8">
                  <c:v>9.0473857739460062</c:v>
                </c:pt>
                <c:pt idx="9">
                  <c:v>9.5716506038873916</c:v>
                </c:pt>
                <c:pt idx="10">
                  <c:v>10.135901054717541</c:v>
                </c:pt>
                <c:pt idx="11">
                  <c:v>10.740137126436457</c:v>
                </c:pt>
                <c:pt idx="12">
                  <c:v>11.384358819044136</c:v>
                </c:pt>
                <c:pt idx="13">
                  <c:v>12.068566132540582</c:v>
                </c:pt>
                <c:pt idx="14">
                  <c:v>12.792759066925791</c:v>
                </c:pt>
                <c:pt idx="15">
                  <c:v>13.556937622199769</c:v>
                </c:pt>
                <c:pt idx="16">
                  <c:v>14.361101798362508</c:v>
                </c:pt>
                <c:pt idx="17">
                  <c:v>15.205251595414012</c:v>
                </c:pt>
                <c:pt idx="18">
                  <c:v>16.089387013354283</c:v>
                </c:pt>
                <c:pt idx="19">
                  <c:v>17.013508052183319</c:v>
                </c:pt>
                <c:pt idx="20">
                  <c:v>17.977614711901118</c:v>
                </c:pt>
                <c:pt idx="21">
                  <c:v>18.981706992507682</c:v>
                </c:pt>
                <c:pt idx="22">
                  <c:v>20.02578489400301</c:v>
                </c:pt>
                <c:pt idx="23">
                  <c:v>21.109848416387109</c:v>
                </c:pt>
                <c:pt idx="24">
                  <c:v>22.233897559659972</c:v>
                </c:pt>
                <c:pt idx="25">
                  <c:v>23.397932323821596</c:v>
                </c:pt>
                <c:pt idx="26">
                  <c:v>24.601952708871984</c:v>
                </c:pt>
                <c:pt idx="27">
                  <c:v>25.845958714811147</c:v>
                </c:pt>
                <c:pt idx="28">
                  <c:v>27.129950341639063</c:v>
                </c:pt>
                <c:pt idx="29">
                  <c:v>28.45392758935575</c:v>
                </c:pt>
                <c:pt idx="30">
                  <c:v>29.817890457961202</c:v>
                </c:pt>
                <c:pt idx="31">
                  <c:v>31.221838947455417</c:v>
                </c:pt>
                <c:pt idx="32">
                  <c:v>32.665773057838393</c:v>
                </c:pt>
                <c:pt idx="33">
                  <c:v>34.149692789110148</c:v>
                </c:pt>
                <c:pt idx="34">
                  <c:v>35.673598141270659</c:v>
                </c:pt>
                <c:pt idx="35">
                  <c:v>37.237489114319935</c:v>
                </c:pt>
                <c:pt idx="36">
                  <c:v>38.841365708257968</c:v>
                </c:pt>
                <c:pt idx="37">
                  <c:v>40.485227923084778</c:v>
                </c:pt>
                <c:pt idx="38">
                  <c:v>42.169075758800354</c:v>
                </c:pt>
                <c:pt idx="39">
                  <c:v>43.892909215404686</c:v>
                </c:pt>
                <c:pt idx="40">
                  <c:v>45.656728292897789</c:v>
                </c:pt>
                <c:pt idx="41">
                  <c:v>47.460532991279642</c:v>
                </c:pt>
                <c:pt idx="42">
                  <c:v>49.304323310550274</c:v>
                </c:pt>
                <c:pt idx="43">
                  <c:v>51.188099250709655</c:v>
                </c:pt>
                <c:pt idx="44">
                  <c:v>53.111860811757808</c:v>
                </c:pt>
                <c:pt idx="45">
                  <c:v>55.075607993694724</c:v>
                </c:pt>
                <c:pt idx="46">
                  <c:v>57.079340796520412</c:v>
                </c:pt>
                <c:pt idx="47">
                  <c:v>59.12305922023485</c:v>
                </c:pt>
                <c:pt idx="48">
                  <c:v>61.206763264838067</c:v>
                </c:pt>
                <c:pt idx="49">
                  <c:v>63.33045293033004</c:v>
                </c:pt>
                <c:pt idx="50">
                  <c:v>65.494128216710777</c:v>
                </c:pt>
                <c:pt idx="51">
                  <c:v>67.697789123980286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785-4B6B-B734-09962E9CFE5D}"/>
            </c:ext>
          </c:extLst>
        </c:ser>
        <c:ser>
          <c:idx val="12"/>
          <c:order val="12"/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поверхность'!$B$16:$BA$16</c:f>
              <c:numCache>
                <c:formatCode>General</c:formatCode>
                <c:ptCount val="52"/>
                <c:pt idx="0">
                  <c:v>2.1999999999999997</c:v>
                </c:pt>
                <c:pt idx="1">
                  <c:v>6.9807918572219201</c:v>
                </c:pt>
                <c:pt idx="2">
                  <c:v>7.2432326318742701</c:v>
                </c:pt>
                <c:pt idx="3">
                  <c:v>7.5456590274153852</c:v>
                </c:pt>
                <c:pt idx="4">
                  <c:v>7.8880710438452653</c:v>
                </c:pt>
                <c:pt idx="5">
                  <c:v>8.2704686811639121</c:v>
                </c:pt>
                <c:pt idx="6">
                  <c:v>8.6928519393713195</c:v>
                </c:pt>
                <c:pt idx="7">
                  <c:v>9.1552208184674964</c:v>
                </c:pt>
                <c:pt idx="8">
                  <c:v>9.6575753184524338</c:v>
                </c:pt>
                <c:pt idx="9">
                  <c:v>10.199915439326141</c:v>
                </c:pt>
                <c:pt idx="10">
                  <c:v>10.782241181088612</c:v>
                </c:pt>
                <c:pt idx="11">
                  <c:v>11.404552543739845</c:v>
                </c:pt>
                <c:pt idx="12">
                  <c:v>12.066849527279846</c:v>
                </c:pt>
                <c:pt idx="13">
                  <c:v>12.769132131708609</c:v>
                </c:pt>
                <c:pt idx="14">
                  <c:v>13.51140035702614</c:v>
                </c:pt>
                <c:pt idx="15">
                  <c:v>14.293654203232435</c:v>
                </c:pt>
                <c:pt idx="16">
                  <c:v>15.115893670327498</c:v>
                </c:pt>
                <c:pt idx="17">
                  <c:v>15.978118758311322</c:v>
                </c:pt>
                <c:pt idx="18">
                  <c:v>16.880329467183913</c:v>
                </c:pt>
                <c:pt idx="19">
                  <c:v>17.822525796945271</c:v>
                </c:pt>
                <c:pt idx="20">
                  <c:v>18.804707747595391</c:v>
                </c:pt>
                <c:pt idx="21">
                  <c:v>19.826875319134274</c:v>
                </c:pt>
                <c:pt idx="22">
                  <c:v>20.889028511561921</c:v>
                </c:pt>
                <c:pt idx="23">
                  <c:v>21.991167324878337</c:v>
                </c:pt>
                <c:pt idx="24">
                  <c:v>23.133291759083523</c:v>
                </c:pt>
                <c:pt idx="25">
                  <c:v>24.315401814177466</c:v>
                </c:pt>
                <c:pt idx="26">
                  <c:v>25.537497490160177</c:v>
                </c:pt>
                <c:pt idx="27">
                  <c:v>26.799578787031653</c:v>
                </c:pt>
                <c:pt idx="28">
                  <c:v>28.101645704791892</c:v>
                </c:pt>
                <c:pt idx="29">
                  <c:v>29.443698243440899</c:v>
                </c:pt>
                <c:pt idx="30">
                  <c:v>30.82573640297867</c:v>
                </c:pt>
                <c:pt idx="31">
                  <c:v>32.247760183405205</c:v>
                </c:pt>
                <c:pt idx="32">
                  <c:v>33.709769584720505</c:v>
                </c:pt>
                <c:pt idx="33">
                  <c:v>35.211764606924575</c:v>
                </c:pt>
                <c:pt idx="34">
                  <c:v>36.753745250017403</c:v>
                </c:pt>
                <c:pt idx="35">
                  <c:v>38.335711513999001</c:v>
                </c:pt>
                <c:pt idx="36">
                  <c:v>39.957663398869364</c:v>
                </c:pt>
                <c:pt idx="37">
                  <c:v>41.619600904628491</c:v>
                </c:pt>
                <c:pt idx="38">
                  <c:v>43.321524031276383</c:v>
                </c:pt>
                <c:pt idx="39">
                  <c:v>45.063432778813045</c:v>
                </c:pt>
                <c:pt idx="40">
                  <c:v>46.845327147238464</c:v>
                </c:pt>
                <c:pt idx="41">
                  <c:v>48.667207136552641</c:v>
                </c:pt>
                <c:pt idx="42">
                  <c:v>50.529072746755588</c:v>
                </c:pt>
                <c:pt idx="43">
                  <c:v>52.430923977847286</c:v>
                </c:pt>
                <c:pt idx="44">
                  <c:v>54.372760829827762</c:v>
                </c:pt>
                <c:pt idx="45">
                  <c:v>56.354583302697002</c:v>
                </c:pt>
                <c:pt idx="46">
                  <c:v>58.376391396454999</c:v>
                </c:pt>
                <c:pt idx="47">
                  <c:v>60.438185111101767</c:v>
                </c:pt>
                <c:pt idx="48">
                  <c:v>62.539964446637299</c:v>
                </c:pt>
                <c:pt idx="49">
                  <c:v>64.681729403061595</c:v>
                </c:pt>
                <c:pt idx="50">
                  <c:v>66.863479980374663</c:v>
                </c:pt>
                <c:pt idx="51">
                  <c:v>69.085216178576488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785-4B6B-B734-09962E9CFE5D}"/>
            </c:ext>
          </c:extLst>
        </c:ser>
        <c:ser>
          <c:idx val="13"/>
          <c:order val="13"/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поверхность'!$B$17:$BA$17</c:f>
              <c:numCache>
                <c:formatCode>General</c:formatCode>
                <c:ptCount val="52"/>
                <c:pt idx="0">
                  <c:v>2.4</c:v>
                </c:pt>
                <c:pt idx="1">
                  <c:v>7.4999159957352095</c:v>
                </c:pt>
                <c:pt idx="2">
                  <c:v>7.7804320613198792</c:v>
                </c:pt>
                <c:pt idx="3">
                  <c:v>8.1009337477933148</c:v>
                </c:pt>
                <c:pt idx="4">
                  <c:v>8.4614210551555153</c:v>
                </c:pt>
                <c:pt idx="5">
                  <c:v>8.8618939834064818</c:v>
                </c:pt>
                <c:pt idx="6">
                  <c:v>9.3023525325462089</c:v>
                </c:pt>
                <c:pt idx="7">
                  <c:v>9.7827967025747053</c:v>
                </c:pt>
                <c:pt idx="8">
                  <c:v>10.303226493491966</c:v>
                </c:pt>
                <c:pt idx="9">
                  <c:v>10.863641905297991</c:v>
                </c:pt>
                <c:pt idx="10">
                  <c:v>11.46404293799278</c:v>
                </c:pt>
                <c:pt idx="11">
                  <c:v>12.104429591576334</c:v>
                </c:pt>
                <c:pt idx="12">
                  <c:v>12.784801866048657</c:v>
                </c:pt>
                <c:pt idx="13">
                  <c:v>13.50515976140974</c:v>
                </c:pt>
                <c:pt idx="14">
                  <c:v>14.265503277659594</c:v>
                </c:pt>
                <c:pt idx="15">
                  <c:v>15.065832414798205</c:v>
                </c:pt>
                <c:pt idx="16">
                  <c:v>15.906147172825587</c:v>
                </c:pt>
                <c:pt idx="17">
                  <c:v>16.78644755174173</c:v>
                </c:pt>
                <c:pt idx="18">
                  <c:v>17.706733551546645</c:v>
                </c:pt>
                <c:pt idx="19">
                  <c:v>18.667005172240319</c:v>
                </c:pt>
                <c:pt idx="20">
                  <c:v>19.667262413822762</c:v>
                </c:pt>
                <c:pt idx="21">
                  <c:v>20.707505276293965</c:v>
                </c:pt>
                <c:pt idx="22">
                  <c:v>21.787733759653932</c:v>
                </c:pt>
                <c:pt idx="23">
                  <c:v>22.90794786390267</c:v>
                </c:pt>
                <c:pt idx="24">
                  <c:v>24.068147589040173</c:v>
                </c:pt>
                <c:pt idx="25">
                  <c:v>25.268332935066439</c:v>
                </c:pt>
                <c:pt idx="26">
                  <c:v>26.50850390198147</c:v>
                </c:pt>
                <c:pt idx="27">
                  <c:v>27.788660489785265</c:v>
                </c:pt>
                <c:pt idx="28">
                  <c:v>29.108802698477824</c:v>
                </c:pt>
                <c:pt idx="29">
                  <c:v>30.46893052805915</c:v>
                </c:pt>
                <c:pt idx="30">
                  <c:v>31.869043978529241</c:v>
                </c:pt>
                <c:pt idx="31">
                  <c:v>33.309143049888092</c:v>
                </c:pt>
                <c:pt idx="32">
                  <c:v>34.789227742135715</c:v>
                </c:pt>
                <c:pt idx="33">
                  <c:v>36.309298055272109</c:v>
                </c:pt>
                <c:pt idx="34">
                  <c:v>37.869353989297259</c:v>
                </c:pt>
                <c:pt idx="35">
                  <c:v>39.469395544211174</c:v>
                </c:pt>
                <c:pt idx="36">
                  <c:v>41.10942272001386</c:v>
                </c:pt>
                <c:pt idx="37">
                  <c:v>42.789435516705311</c:v>
                </c:pt>
                <c:pt idx="38">
                  <c:v>44.509433934285511</c:v>
                </c:pt>
                <c:pt idx="39">
                  <c:v>46.269417972754496</c:v>
                </c:pt>
                <c:pt idx="40">
                  <c:v>48.069387632112239</c:v>
                </c:pt>
                <c:pt idx="41">
                  <c:v>49.909342912358731</c:v>
                </c:pt>
                <c:pt idx="42">
                  <c:v>51.789283813494002</c:v>
                </c:pt>
                <c:pt idx="43">
                  <c:v>53.709210335518023</c:v>
                </c:pt>
                <c:pt idx="44">
                  <c:v>55.669122478430815</c:v>
                </c:pt>
                <c:pt idx="45">
                  <c:v>57.669020242232378</c:v>
                </c:pt>
                <c:pt idx="46">
                  <c:v>59.708903626922691</c:v>
                </c:pt>
                <c:pt idx="47">
                  <c:v>61.788772632501782</c:v>
                </c:pt>
                <c:pt idx="48">
                  <c:v>63.908627258969631</c:v>
                </c:pt>
                <c:pt idx="49">
                  <c:v>66.068467506326243</c:v>
                </c:pt>
                <c:pt idx="50">
                  <c:v>68.268293374571627</c:v>
                </c:pt>
                <c:pt idx="51">
                  <c:v>70.508104863705768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785-4B6B-B734-09962E9CFE5D}"/>
            </c:ext>
          </c:extLst>
        </c:ser>
        <c:ser>
          <c:idx val="14"/>
          <c:order val="14"/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поверхность'!$B$18:$BA$18</c:f>
              <c:numCache>
                <c:formatCode>General</c:formatCode>
                <c:ptCount val="52"/>
                <c:pt idx="0">
                  <c:v>2.6</c:v>
                </c:pt>
                <c:pt idx="1">
                  <c:v>8.0545017647815982</c:v>
                </c:pt>
                <c:pt idx="2">
                  <c:v>8.3530931212985884</c:v>
                </c:pt>
                <c:pt idx="3">
                  <c:v>8.6916700987043445</c:v>
                </c:pt>
                <c:pt idx="4">
                  <c:v>9.0702326969988647</c:v>
                </c:pt>
                <c:pt idx="5">
                  <c:v>9.4887809161821508</c:v>
                </c:pt>
                <c:pt idx="6">
                  <c:v>9.947314756254201</c:v>
                </c:pt>
                <c:pt idx="7">
                  <c:v>10.445834217215015</c:v>
                </c:pt>
                <c:pt idx="8">
                  <c:v>10.984339299064596</c:v>
                </c:pt>
                <c:pt idx="9">
                  <c:v>11.562830001802942</c:v>
                </c:pt>
                <c:pt idx="10">
                  <c:v>12.18130632543005</c:v>
                </c:pt>
                <c:pt idx="11">
                  <c:v>12.839768269945925</c:v>
                </c:pt>
                <c:pt idx="12">
                  <c:v>13.538215835350565</c:v>
                </c:pt>
                <c:pt idx="13">
                  <c:v>14.276649021643969</c:v>
                </c:pt>
                <c:pt idx="14">
                  <c:v>15.055067828826143</c:v>
                </c:pt>
                <c:pt idx="15">
                  <c:v>15.873472256897077</c:v>
                </c:pt>
                <c:pt idx="16">
                  <c:v>16.731862305856779</c:v>
                </c:pt>
                <c:pt idx="17">
                  <c:v>17.630237975705246</c:v>
                </c:pt>
                <c:pt idx="18">
                  <c:v>18.568599266442476</c:v>
                </c:pt>
                <c:pt idx="19">
                  <c:v>19.54694617806847</c:v>
                </c:pt>
                <c:pt idx="20">
                  <c:v>20.565278710583229</c:v>
                </c:pt>
                <c:pt idx="21">
                  <c:v>21.623596863986755</c:v>
                </c:pt>
                <c:pt idx="22">
                  <c:v>22.721900638279042</c:v>
                </c:pt>
                <c:pt idx="23">
                  <c:v>23.8601900334601</c:v>
                </c:pt>
                <c:pt idx="24">
                  <c:v>25.038465049529925</c:v>
                </c:pt>
                <c:pt idx="25">
                  <c:v>26.256725686488508</c:v>
                </c:pt>
                <c:pt idx="26">
                  <c:v>27.514971944335858</c:v>
                </c:pt>
                <c:pt idx="27">
                  <c:v>28.813203823071973</c:v>
                </c:pt>
                <c:pt idx="28">
                  <c:v>30.151421322696855</c:v>
                </c:pt>
                <c:pt idx="29">
                  <c:v>31.529624443210501</c:v>
                </c:pt>
                <c:pt idx="30">
                  <c:v>32.947813184612912</c:v>
                </c:pt>
                <c:pt idx="31">
                  <c:v>34.405987546904086</c:v>
                </c:pt>
                <c:pt idx="32">
                  <c:v>35.904147530084032</c:v>
                </c:pt>
                <c:pt idx="33">
                  <c:v>37.442293134152735</c:v>
                </c:pt>
                <c:pt idx="34">
                  <c:v>39.020424359110208</c:v>
                </c:pt>
                <c:pt idx="35">
                  <c:v>40.638541204956447</c:v>
                </c:pt>
                <c:pt idx="36">
                  <c:v>42.296643671691456</c:v>
                </c:pt>
                <c:pt idx="37">
                  <c:v>43.994731759315215</c:v>
                </c:pt>
                <c:pt idx="38">
                  <c:v>45.732805467827745</c:v>
                </c:pt>
                <c:pt idx="39">
                  <c:v>47.510864797229047</c:v>
                </c:pt>
                <c:pt idx="40">
                  <c:v>49.328909747519106</c:v>
                </c:pt>
                <c:pt idx="41">
                  <c:v>51.186940318697928</c:v>
                </c:pt>
                <c:pt idx="42">
                  <c:v>53.084956510765508</c:v>
                </c:pt>
                <c:pt idx="43">
                  <c:v>55.022958323721852</c:v>
                </c:pt>
                <c:pt idx="44">
                  <c:v>57.000945757566967</c:v>
                </c:pt>
                <c:pt idx="45">
                  <c:v>59.018918812300839</c:v>
                </c:pt>
                <c:pt idx="46">
                  <c:v>61.07687748792349</c:v>
                </c:pt>
                <c:pt idx="47">
                  <c:v>63.174821784434897</c:v>
                </c:pt>
                <c:pt idx="48">
                  <c:v>65.312751701835055</c:v>
                </c:pt>
                <c:pt idx="49">
                  <c:v>67.490667240123997</c:v>
                </c:pt>
                <c:pt idx="50">
                  <c:v>69.708568399301711</c:v>
                </c:pt>
                <c:pt idx="51">
                  <c:v>71.966455179368168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785-4B6B-B734-09962E9CFE5D}"/>
            </c:ext>
          </c:extLst>
        </c:ser>
        <c:ser>
          <c:idx val="15"/>
          <c:order val="15"/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поверхность'!$B$19:$BA$19</c:f>
              <c:numCache>
                <c:formatCode>General</c:formatCode>
                <c:ptCount val="52"/>
                <c:pt idx="0">
                  <c:v>2.8000000000000003</c:v>
                </c:pt>
                <c:pt idx="1">
                  <c:v>8.6445491643610879</c:v>
                </c:pt>
                <c:pt idx="2">
                  <c:v>8.9612158118103977</c:v>
                </c:pt>
                <c:pt idx="3">
                  <c:v>9.3178680801484752</c:v>
                </c:pt>
                <c:pt idx="4">
                  <c:v>9.7145059693753133</c:v>
                </c:pt>
                <c:pt idx="5">
                  <c:v>10.151129479490923</c:v>
                </c:pt>
                <c:pt idx="6">
                  <c:v>10.627738610495291</c:v>
                </c:pt>
                <c:pt idx="7">
                  <c:v>11.144333362388425</c:v>
                </c:pt>
                <c:pt idx="8">
                  <c:v>11.700913735170325</c:v>
                </c:pt>
                <c:pt idx="9">
                  <c:v>12.297479728840992</c:v>
                </c:pt>
                <c:pt idx="10">
                  <c:v>12.93403134340042</c:v>
                </c:pt>
                <c:pt idx="11">
                  <c:v>13.610568578848618</c:v>
                </c:pt>
                <c:pt idx="12">
                  <c:v>14.327091435185578</c:v>
                </c:pt>
                <c:pt idx="13">
                  <c:v>15.083599912411302</c:v>
                </c:pt>
                <c:pt idx="14">
                  <c:v>15.880094010525792</c:v>
                </c:pt>
                <c:pt idx="15">
                  <c:v>16.716573729529049</c:v>
                </c:pt>
                <c:pt idx="16">
                  <c:v>17.593039069421067</c:v>
                </c:pt>
                <c:pt idx="17">
                  <c:v>18.509490030201853</c:v>
                </c:pt>
                <c:pt idx="18">
                  <c:v>19.465926611871406</c:v>
                </c:pt>
                <c:pt idx="19">
                  <c:v>20.462348814429724</c:v>
                </c:pt>
                <c:pt idx="20">
                  <c:v>21.498756637876802</c:v>
                </c:pt>
                <c:pt idx="21">
                  <c:v>22.575150082212648</c:v>
                </c:pt>
                <c:pt idx="22">
                  <c:v>23.691529147437258</c:v>
                </c:pt>
                <c:pt idx="23">
                  <c:v>24.847893833550636</c:v>
                </c:pt>
                <c:pt idx="24">
                  <c:v>26.044244140552774</c:v>
                </c:pt>
                <c:pt idx="25">
                  <c:v>27.280580068443683</c:v>
                </c:pt>
                <c:pt idx="26">
                  <c:v>28.556901617223353</c:v>
                </c:pt>
                <c:pt idx="27">
                  <c:v>29.873208786891791</c:v>
                </c:pt>
                <c:pt idx="28">
                  <c:v>31.229501577448993</c:v>
                </c:pt>
                <c:pt idx="29">
                  <c:v>32.625779988894955</c:v>
                </c:pt>
                <c:pt idx="30">
                  <c:v>34.062044021229688</c:v>
                </c:pt>
                <c:pt idx="31">
                  <c:v>35.538293674453186</c:v>
                </c:pt>
                <c:pt idx="32">
                  <c:v>37.054528948565448</c:v>
                </c:pt>
                <c:pt idx="33">
                  <c:v>38.610749843566467</c:v>
                </c:pt>
                <c:pt idx="34">
                  <c:v>40.206956359456271</c:v>
                </c:pt>
                <c:pt idx="35">
                  <c:v>41.843148496234818</c:v>
                </c:pt>
                <c:pt idx="36">
                  <c:v>43.519326253902136</c:v>
                </c:pt>
                <c:pt idx="37">
                  <c:v>45.235489632458226</c:v>
                </c:pt>
                <c:pt idx="38">
                  <c:v>46.991638631903079</c:v>
                </c:pt>
                <c:pt idx="39">
                  <c:v>48.787773252236697</c:v>
                </c:pt>
                <c:pt idx="40">
                  <c:v>50.623893493459079</c:v>
                </c:pt>
                <c:pt idx="41">
                  <c:v>52.49999935557021</c:v>
                </c:pt>
                <c:pt idx="42">
                  <c:v>54.416090838570121</c:v>
                </c:pt>
                <c:pt idx="43">
                  <c:v>56.372167942458788</c:v>
                </c:pt>
                <c:pt idx="44">
                  <c:v>58.368230667236219</c:v>
                </c:pt>
                <c:pt idx="45">
                  <c:v>60.404279012902414</c:v>
                </c:pt>
                <c:pt idx="46">
                  <c:v>62.480312979457381</c:v>
                </c:pt>
                <c:pt idx="47">
                  <c:v>64.596332566901097</c:v>
                </c:pt>
                <c:pt idx="48">
                  <c:v>66.752337775233599</c:v>
                </c:pt>
                <c:pt idx="49">
                  <c:v>68.948328604454844</c:v>
                </c:pt>
                <c:pt idx="50">
                  <c:v>71.184305054564874</c:v>
                </c:pt>
                <c:pt idx="51">
                  <c:v>73.460267125563661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785-4B6B-B734-09962E9CFE5D}"/>
            </c:ext>
          </c:extLst>
        </c:ser>
        <c:ser>
          <c:idx val="16"/>
          <c:order val="16"/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поверхность'!$B$20:$BA$20</c:f>
              <c:numCache>
                <c:formatCode>General</c:formatCode>
                <c:ptCount val="52"/>
                <c:pt idx="0">
                  <c:v>3.0000000000000004</c:v>
                </c:pt>
                <c:pt idx="1">
                  <c:v>9.2700581944736786</c:v>
                </c:pt>
                <c:pt idx="2">
                  <c:v>9.6048001328553099</c:v>
                </c:pt>
                <c:pt idx="3">
                  <c:v>9.9795276921257052</c:v>
                </c:pt>
                <c:pt idx="4">
                  <c:v>10.394240872284866</c:v>
                </c:pt>
                <c:pt idx="5">
                  <c:v>10.84893967333279</c:v>
                </c:pt>
                <c:pt idx="6">
                  <c:v>11.34362409526948</c:v>
                </c:pt>
                <c:pt idx="7">
                  <c:v>11.878294138094937</c:v>
                </c:pt>
                <c:pt idx="8">
                  <c:v>12.452949801809156</c:v>
                </c:pt>
                <c:pt idx="9">
                  <c:v>13.067591086412142</c:v>
                </c:pt>
                <c:pt idx="10">
                  <c:v>13.722217991903893</c:v>
                </c:pt>
                <c:pt idx="11">
                  <c:v>14.416830518284407</c:v>
                </c:pt>
                <c:pt idx="12">
                  <c:v>15.151428665553688</c:v>
                </c:pt>
                <c:pt idx="13">
                  <c:v>15.926012433711733</c:v>
                </c:pt>
                <c:pt idx="14">
                  <c:v>16.740581822758543</c:v>
                </c:pt>
                <c:pt idx="15">
                  <c:v>17.59513683269412</c:v>
                </c:pt>
                <c:pt idx="16">
                  <c:v>18.489677463518461</c:v>
                </c:pt>
                <c:pt idx="17">
                  <c:v>19.424203715231567</c:v>
                </c:pt>
                <c:pt idx="18">
                  <c:v>20.39871558783344</c:v>
                </c:pt>
                <c:pt idx="19">
                  <c:v>21.41321308132407</c:v>
                </c:pt>
                <c:pt idx="20">
                  <c:v>22.467696195703475</c:v>
                </c:pt>
                <c:pt idx="21">
                  <c:v>23.562164930971633</c:v>
                </c:pt>
                <c:pt idx="22">
                  <c:v>24.69661928712857</c:v>
                </c:pt>
                <c:pt idx="23">
                  <c:v>25.871059264174264</c:v>
                </c:pt>
                <c:pt idx="24">
                  <c:v>27.085484862108725</c:v>
                </c:pt>
                <c:pt idx="25">
                  <c:v>28.33989608093195</c:v>
                </c:pt>
                <c:pt idx="26">
                  <c:v>29.63429292064394</c:v>
                </c:pt>
                <c:pt idx="27">
                  <c:v>30.968675381244701</c:v>
                </c:pt>
                <c:pt idx="28">
                  <c:v>32.343043462734215</c:v>
                </c:pt>
                <c:pt idx="29">
                  <c:v>33.757397165112508</c:v>
                </c:pt>
                <c:pt idx="30">
                  <c:v>35.211736488379557</c:v>
                </c:pt>
                <c:pt idx="31">
                  <c:v>36.706061432535378</c:v>
                </c:pt>
                <c:pt idx="32">
                  <c:v>38.240371997579956</c:v>
                </c:pt>
                <c:pt idx="33">
                  <c:v>39.814668183513305</c:v>
                </c:pt>
                <c:pt idx="34">
                  <c:v>41.428949990335418</c:v>
                </c:pt>
                <c:pt idx="35">
                  <c:v>43.083217418046289</c:v>
                </c:pt>
                <c:pt idx="36">
                  <c:v>44.777470466645937</c:v>
                </c:pt>
                <c:pt idx="37">
                  <c:v>46.511709136134343</c:v>
                </c:pt>
                <c:pt idx="38">
                  <c:v>48.285933426511512</c:v>
                </c:pt>
                <c:pt idx="39">
                  <c:v>50.100143337777446</c:v>
                </c:pt>
                <c:pt idx="40">
                  <c:v>51.954338869932151</c:v>
                </c:pt>
                <c:pt idx="41">
                  <c:v>53.848520022975606</c:v>
                </c:pt>
                <c:pt idx="42">
                  <c:v>55.782686796907832</c:v>
                </c:pt>
                <c:pt idx="43">
                  <c:v>57.756839191728815</c:v>
                </c:pt>
                <c:pt idx="44">
                  <c:v>59.77097720743857</c:v>
                </c:pt>
                <c:pt idx="45">
                  <c:v>61.825100844037088</c:v>
                </c:pt>
                <c:pt idx="46">
                  <c:v>63.919210101524371</c:v>
                </c:pt>
                <c:pt idx="47">
                  <c:v>66.053304979900417</c:v>
                </c:pt>
                <c:pt idx="48">
                  <c:v>68.227385479165221</c:v>
                </c:pt>
                <c:pt idx="49">
                  <c:v>70.44145159931881</c:v>
                </c:pt>
                <c:pt idx="50">
                  <c:v>72.695503340361142</c:v>
                </c:pt>
                <c:pt idx="51">
                  <c:v>74.989540702292246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785-4B6B-B734-09962E9CFE5D}"/>
            </c:ext>
          </c:extLst>
        </c:ser>
        <c:ser>
          <c:idx val="17"/>
          <c:order val="17"/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поверхность'!$B$21:$BA$21</c:f>
              <c:numCache>
                <c:formatCode>General</c:formatCode>
                <c:ptCount val="52"/>
                <c:pt idx="0">
                  <c:v>3.2000000000000006</c:v>
                </c:pt>
                <c:pt idx="1">
                  <c:v>9.9310288551193686</c:v>
                </c:pt>
                <c:pt idx="2">
                  <c:v>10.283846084433318</c:v>
                </c:pt>
                <c:pt idx="3">
                  <c:v>10.676648934636034</c:v>
                </c:pt>
                <c:pt idx="4">
                  <c:v>11.109437405727515</c:v>
                </c:pt>
                <c:pt idx="5">
                  <c:v>11.58221149770776</c:v>
                </c:pt>
                <c:pt idx="6">
                  <c:v>12.094971210576771</c:v>
                </c:pt>
                <c:pt idx="7">
                  <c:v>12.647716544334545</c:v>
                </c:pt>
                <c:pt idx="8">
                  <c:v>13.240447498981085</c:v>
                </c:pt>
                <c:pt idx="9">
                  <c:v>13.87316407451639</c:v>
                </c:pt>
                <c:pt idx="10">
                  <c:v>14.545866270940463</c:v>
                </c:pt>
                <c:pt idx="11">
                  <c:v>15.258554088253295</c:v>
                </c:pt>
                <c:pt idx="12">
                  <c:v>16.011227526454896</c:v>
                </c:pt>
                <c:pt idx="13">
                  <c:v>16.803886585545261</c:v>
                </c:pt>
                <c:pt idx="14">
                  <c:v>17.636531265524393</c:v>
                </c:pt>
                <c:pt idx="15">
                  <c:v>18.50916156639229</c:v>
                </c:pt>
                <c:pt idx="16">
                  <c:v>19.421777488148951</c:v>
                </c:pt>
                <c:pt idx="17">
                  <c:v>20.374379030794376</c:v>
                </c:pt>
                <c:pt idx="18">
                  <c:v>21.366966194328569</c:v>
                </c:pt>
                <c:pt idx="19">
                  <c:v>22.399538978751522</c:v>
                </c:pt>
                <c:pt idx="20">
                  <c:v>23.472097384063243</c:v>
                </c:pt>
                <c:pt idx="21">
                  <c:v>24.584641410263728</c:v>
                </c:pt>
                <c:pt idx="22">
                  <c:v>25.737171057352977</c:v>
                </c:pt>
                <c:pt idx="23">
                  <c:v>26.929686325330994</c:v>
                </c:pt>
                <c:pt idx="24">
                  <c:v>28.162187214197779</c:v>
                </c:pt>
                <c:pt idx="25">
                  <c:v>29.434673723953324</c:v>
                </c:pt>
                <c:pt idx="26">
                  <c:v>30.747145854597633</c:v>
                </c:pt>
                <c:pt idx="27">
                  <c:v>32.099603606130714</c:v>
                </c:pt>
                <c:pt idx="28">
                  <c:v>33.492046978552551</c:v>
                </c:pt>
                <c:pt idx="29">
                  <c:v>34.92447597186316</c:v>
                </c:pt>
                <c:pt idx="30">
                  <c:v>36.396890586062533</c:v>
                </c:pt>
                <c:pt idx="31">
                  <c:v>37.90929082115067</c:v>
                </c:pt>
                <c:pt idx="32">
                  <c:v>39.461676677127571</c:v>
                </c:pt>
                <c:pt idx="33">
                  <c:v>41.054048153993236</c:v>
                </c:pt>
                <c:pt idx="34">
                  <c:v>42.686405251747672</c:v>
                </c:pt>
                <c:pt idx="35">
                  <c:v>44.358747970390866</c:v>
                </c:pt>
                <c:pt idx="36">
                  <c:v>46.07107630992283</c:v>
                </c:pt>
                <c:pt idx="37">
                  <c:v>47.823390270343559</c:v>
                </c:pt>
                <c:pt idx="38">
                  <c:v>49.615689851653052</c:v>
                </c:pt>
                <c:pt idx="39">
                  <c:v>51.447975053851309</c:v>
                </c:pt>
                <c:pt idx="40">
                  <c:v>53.32024587693833</c:v>
                </c:pt>
                <c:pt idx="41">
                  <c:v>55.232502320914108</c:v>
                </c:pt>
                <c:pt idx="42">
                  <c:v>57.18474438577865</c:v>
                </c:pt>
                <c:pt idx="43">
                  <c:v>59.176972071531956</c:v>
                </c:pt>
                <c:pt idx="44">
                  <c:v>61.209185378174027</c:v>
                </c:pt>
                <c:pt idx="45">
                  <c:v>63.281384305704869</c:v>
                </c:pt>
                <c:pt idx="46">
                  <c:v>65.393568854124467</c:v>
                </c:pt>
                <c:pt idx="47">
                  <c:v>67.54573902343283</c:v>
                </c:pt>
                <c:pt idx="48">
                  <c:v>69.737894813629964</c:v>
                </c:pt>
                <c:pt idx="49">
                  <c:v>71.970036224715855</c:v>
                </c:pt>
                <c:pt idx="50">
                  <c:v>74.242163256690517</c:v>
                </c:pt>
                <c:pt idx="51">
                  <c:v>76.554275909553951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785-4B6B-B734-09962E9CFE5D}"/>
            </c:ext>
          </c:extLst>
        </c:ser>
        <c:ser>
          <c:idx val="18"/>
          <c:order val="18"/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поверхность'!$B$22:$BA$22</c:f>
              <c:numCache>
                <c:formatCode>General</c:formatCode>
                <c:ptCount val="52"/>
                <c:pt idx="0">
                  <c:v>3.4000000000000008</c:v>
                </c:pt>
                <c:pt idx="1">
                  <c:v>10.62746114629816</c:v>
                </c:pt>
                <c:pt idx="2">
                  <c:v>10.998353666544428</c:v>
                </c:pt>
                <c:pt idx="3">
                  <c:v>11.409231807679465</c:v>
                </c:pt>
                <c:pt idx="4">
                  <c:v>11.860095569703265</c:v>
                </c:pt>
                <c:pt idx="5">
                  <c:v>12.35094495261583</c:v>
                </c:pt>
                <c:pt idx="6">
                  <c:v>12.881779956417162</c:v>
                </c:pt>
                <c:pt idx="7">
                  <c:v>13.452600581107257</c:v>
                </c:pt>
                <c:pt idx="8">
                  <c:v>14.063406826686117</c:v>
                </c:pt>
                <c:pt idx="9">
                  <c:v>14.714198693153744</c:v>
                </c:pt>
                <c:pt idx="10">
                  <c:v>15.404976180510133</c:v>
                </c:pt>
                <c:pt idx="11">
                  <c:v>16.135739288755289</c:v>
                </c:pt>
                <c:pt idx="12">
                  <c:v>16.90648801788921</c:v>
                </c:pt>
                <c:pt idx="13">
                  <c:v>17.717222367911894</c:v>
                </c:pt>
                <c:pt idx="14">
                  <c:v>18.567942338823347</c:v>
                </c:pt>
                <c:pt idx="15">
                  <c:v>19.458647930623563</c:v>
                </c:pt>
                <c:pt idx="16">
                  <c:v>20.38933914331254</c:v>
                </c:pt>
                <c:pt idx="17">
                  <c:v>21.360015976890285</c:v>
                </c:pt>
                <c:pt idx="18">
                  <c:v>22.370678431356801</c:v>
                </c:pt>
                <c:pt idx="19">
                  <c:v>23.421326506712077</c:v>
                </c:pt>
                <c:pt idx="20">
                  <c:v>24.511960202956121</c:v>
                </c:pt>
                <c:pt idx="21">
                  <c:v>25.642579520088923</c:v>
                </c:pt>
                <c:pt idx="22">
                  <c:v>26.813184458110495</c:v>
                </c:pt>
                <c:pt idx="23">
                  <c:v>28.023775017020832</c:v>
                </c:pt>
                <c:pt idx="24">
                  <c:v>29.274351196819932</c:v>
                </c:pt>
                <c:pt idx="25">
                  <c:v>30.564912997507797</c:v>
                </c:pt>
                <c:pt idx="26">
                  <c:v>31.895460419084426</c:v>
                </c:pt>
                <c:pt idx="27">
                  <c:v>33.265993461549826</c:v>
                </c:pt>
                <c:pt idx="28">
                  <c:v>34.676512124903986</c:v>
                </c:pt>
                <c:pt idx="29">
                  <c:v>36.127016409146918</c:v>
                </c:pt>
                <c:pt idx="30">
                  <c:v>37.617506314278607</c:v>
                </c:pt>
                <c:pt idx="31">
                  <c:v>39.147981840299053</c:v>
                </c:pt>
                <c:pt idx="32">
                  <c:v>40.718442987208277</c:v>
                </c:pt>
                <c:pt idx="33">
                  <c:v>42.328889755006273</c:v>
                </c:pt>
                <c:pt idx="34">
                  <c:v>43.979322143693018</c:v>
                </c:pt>
                <c:pt idx="35">
                  <c:v>45.669740153268542</c:v>
                </c:pt>
                <c:pt idx="36">
                  <c:v>47.400143783732815</c:v>
                </c:pt>
                <c:pt idx="37">
                  <c:v>49.170533035085867</c:v>
                </c:pt>
                <c:pt idx="38">
                  <c:v>50.980907907327676</c:v>
                </c:pt>
                <c:pt idx="39">
                  <c:v>52.831268400458256</c:v>
                </c:pt>
                <c:pt idx="40">
                  <c:v>54.721614514477601</c:v>
                </c:pt>
                <c:pt idx="41">
                  <c:v>56.651946249385695</c:v>
                </c:pt>
                <c:pt idx="42">
                  <c:v>58.622263605182567</c:v>
                </c:pt>
                <c:pt idx="43">
                  <c:v>60.632566581868183</c:v>
                </c:pt>
                <c:pt idx="44">
                  <c:v>62.682855179442576</c:v>
                </c:pt>
                <c:pt idx="45">
                  <c:v>64.773129397905734</c:v>
                </c:pt>
                <c:pt idx="46">
                  <c:v>66.903389237257656</c:v>
                </c:pt>
                <c:pt idx="47">
                  <c:v>69.073634697498349</c:v>
                </c:pt>
                <c:pt idx="48">
                  <c:v>71.283865778627799</c:v>
                </c:pt>
                <c:pt idx="49">
                  <c:v>73.534082480646006</c:v>
                </c:pt>
                <c:pt idx="50">
                  <c:v>75.824284803552999</c:v>
                </c:pt>
                <c:pt idx="51">
                  <c:v>78.154472747348734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785-4B6B-B734-09962E9CFE5D}"/>
            </c:ext>
          </c:extLst>
        </c:ser>
        <c:ser>
          <c:idx val="19"/>
          <c:order val="19"/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поверхность'!$B$23:$BA$23</c:f>
              <c:numCache>
                <c:formatCode>General</c:formatCode>
                <c:ptCount val="52"/>
                <c:pt idx="0">
                  <c:v>3.600000000000001</c:v>
                </c:pt>
                <c:pt idx="1">
                  <c:v>11.35935506801005</c:v>
                </c:pt>
                <c:pt idx="2">
                  <c:v>11.748322879188638</c:v>
                </c:pt>
                <c:pt idx="3">
                  <c:v>12.177276311255996</c:v>
                </c:pt>
                <c:pt idx="4">
                  <c:v>12.646215364212116</c:v>
                </c:pt>
                <c:pt idx="5">
                  <c:v>13.155140038057002</c:v>
                </c:pt>
                <c:pt idx="6">
                  <c:v>13.704050332790652</c:v>
                </c:pt>
                <c:pt idx="7">
                  <c:v>14.292946248413067</c:v>
                </c:pt>
                <c:pt idx="8">
                  <c:v>14.921827784924247</c:v>
                </c:pt>
                <c:pt idx="9">
                  <c:v>15.590694942324193</c:v>
                </c:pt>
                <c:pt idx="10">
                  <c:v>16.299547720612907</c:v>
                </c:pt>
                <c:pt idx="11">
                  <c:v>17.048386119790379</c:v>
                </c:pt>
                <c:pt idx="12">
                  <c:v>17.837210139856619</c:v>
                </c:pt>
                <c:pt idx="13">
                  <c:v>18.666019780811624</c:v>
                </c:pt>
                <c:pt idx="14">
                  <c:v>19.534815042655396</c:v>
                </c:pt>
                <c:pt idx="15">
                  <c:v>20.443595925387935</c:v>
                </c:pt>
                <c:pt idx="16">
                  <c:v>21.392362429009236</c:v>
                </c:pt>
                <c:pt idx="17">
                  <c:v>22.3811145535193</c:v>
                </c:pt>
                <c:pt idx="18">
                  <c:v>23.409852298918132</c:v>
                </c:pt>
                <c:pt idx="19">
                  <c:v>24.478575665205728</c:v>
                </c:pt>
                <c:pt idx="20">
                  <c:v>25.587284652382088</c:v>
                </c:pt>
                <c:pt idx="21">
                  <c:v>26.735979260447213</c:v>
                </c:pt>
                <c:pt idx="22">
                  <c:v>27.924659489401101</c:v>
                </c:pt>
                <c:pt idx="23">
                  <c:v>29.153325339243761</c:v>
                </c:pt>
                <c:pt idx="24">
                  <c:v>30.421976809975185</c:v>
                </c:pt>
                <c:pt idx="25">
                  <c:v>31.730613901595369</c:v>
                </c:pt>
                <c:pt idx="26">
                  <c:v>33.079236614104325</c:v>
                </c:pt>
                <c:pt idx="27">
                  <c:v>34.467844947502037</c:v>
                </c:pt>
                <c:pt idx="28">
                  <c:v>35.896438901788514</c:v>
                </c:pt>
                <c:pt idx="29">
                  <c:v>37.365018476963769</c:v>
                </c:pt>
                <c:pt idx="30">
                  <c:v>38.873583673027774</c:v>
                </c:pt>
                <c:pt idx="31">
                  <c:v>40.42213448998055</c:v>
                </c:pt>
                <c:pt idx="32">
                  <c:v>42.01067092782209</c:v>
                </c:pt>
                <c:pt idx="33">
                  <c:v>43.639192986552402</c:v>
                </c:pt>
                <c:pt idx="34">
                  <c:v>45.307700666171478</c:v>
                </c:pt>
                <c:pt idx="35">
                  <c:v>47.01619396667931</c:v>
                </c:pt>
                <c:pt idx="36">
                  <c:v>48.764672888075914</c:v>
                </c:pt>
                <c:pt idx="37">
                  <c:v>50.553137430361282</c:v>
                </c:pt>
                <c:pt idx="38">
                  <c:v>52.381587593535414</c:v>
                </c:pt>
                <c:pt idx="39">
                  <c:v>54.250023377598311</c:v>
                </c:pt>
                <c:pt idx="40">
                  <c:v>56.158444782549978</c:v>
                </c:pt>
                <c:pt idx="41">
                  <c:v>58.106851808390388</c:v>
                </c:pt>
                <c:pt idx="42">
                  <c:v>60.09524445511957</c:v>
                </c:pt>
                <c:pt idx="43">
                  <c:v>62.123622722737522</c:v>
                </c:pt>
                <c:pt idx="44">
                  <c:v>64.191986611244232</c:v>
                </c:pt>
                <c:pt idx="45">
                  <c:v>66.300336120639713</c:v>
                </c:pt>
                <c:pt idx="46">
                  <c:v>68.448671250923951</c:v>
                </c:pt>
                <c:pt idx="47">
                  <c:v>70.63699200209696</c:v>
                </c:pt>
                <c:pt idx="48">
                  <c:v>72.865298374158726</c:v>
                </c:pt>
                <c:pt idx="49">
                  <c:v>75.133590367109264</c:v>
                </c:pt>
                <c:pt idx="50">
                  <c:v>77.441867980948572</c:v>
                </c:pt>
                <c:pt idx="51">
                  <c:v>79.790131215676624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785-4B6B-B734-09962E9CFE5D}"/>
            </c:ext>
          </c:extLst>
        </c:ser>
        <c:ser>
          <c:idx val="20"/>
          <c:order val="20"/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поверхность'!$B$24:$BA$24</c:f>
              <c:numCache>
                <c:formatCode>General</c:formatCode>
                <c:ptCount val="52"/>
                <c:pt idx="0">
                  <c:v>3.8000000000000012</c:v>
                </c:pt>
                <c:pt idx="1">
                  <c:v>12.126710620255039</c:v>
                </c:pt>
                <c:pt idx="2">
                  <c:v>12.533753722365949</c:v>
                </c:pt>
                <c:pt idx="3">
                  <c:v>12.980782445365625</c:v>
                </c:pt>
                <c:pt idx="4">
                  <c:v>13.467796789254066</c:v>
                </c:pt>
                <c:pt idx="5">
                  <c:v>13.99479675403127</c:v>
                </c:pt>
                <c:pt idx="6">
                  <c:v>14.561782339697244</c:v>
                </c:pt>
                <c:pt idx="7">
                  <c:v>15.168753546251978</c:v>
                </c:pt>
                <c:pt idx="8">
                  <c:v>15.815710373695477</c:v>
                </c:pt>
                <c:pt idx="9">
                  <c:v>16.502652822027741</c:v>
                </c:pt>
                <c:pt idx="10">
                  <c:v>17.229580891248776</c:v>
                </c:pt>
                <c:pt idx="11">
                  <c:v>17.996494581358569</c:v>
                </c:pt>
                <c:pt idx="12">
                  <c:v>18.803393892357128</c:v>
                </c:pt>
                <c:pt idx="13">
                  <c:v>19.650278824244456</c:v>
                </c:pt>
                <c:pt idx="14">
                  <c:v>20.537149377020548</c:v>
                </c:pt>
                <c:pt idx="15">
                  <c:v>21.4640055506854</c:v>
                </c:pt>
                <c:pt idx="16">
                  <c:v>22.430847345239027</c:v>
                </c:pt>
                <c:pt idx="17">
                  <c:v>23.437674760681411</c:v>
                </c:pt>
                <c:pt idx="18">
                  <c:v>24.484487797012566</c:v>
                </c:pt>
                <c:pt idx="19">
                  <c:v>25.571286454232478</c:v>
                </c:pt>
                <c:pt idx="20">
                  <c:v>26.698070732341158</c:v>
                </c:pt>
                <c:pt idx="21">
                  <c:v>27.864840631338605</c:v>
                </c:pt>
                <c:pt idx="22">
                  <c:v>29.071596151224814</c:v>
                </c:pt>
                <c:pt idx="23">
                  <c:v>30.318337291999789</c:v>
                </c:pt>
                <c:pt idx="24">
                  <c:v>31.605064053663533</c:v>
                </c:pt>
                <c:pt idx="25">
                  <c:v>32.93177643621604</c:v>
                </c:pt>
                <c:pt idx="26">
                  <c:v>34.298474439657312</c:v>
                </c:pt>
                <c:pt idx="27">
                  <c:v>35.705158063987348</c:v>
                </c:pt>
                <c:pt idx="28">
                  <c:v>37.151827309206148</c:v>
                </c:pt>
                <c:pt idx="29">
                  <c:v>38.638482175313712</c:v>
                </c:pt>
                <c:pt idx="30">
                  <c:v>40.165122662310047</c:v>
                </c:pt>
                <c:pt idx="31">
                  <c:v>41.731748770195146</c:v>
                </c:pt>
                <c:pt idx="32">
                  <c:v>43.33836049896901</c:v>
                </c:pt>
                <c:pt idx="33">
                  <c:v>44.984957848631637</c:v>
                </c:pt>
                <c:pt idx="34">
                  <c:v>46.671540819183036</c:v>
                </c:pt>
                <c:pt idx="35">
                  <c:v>48.398109410623185</c:v>
                </c:pt>
                <c:pt idx="36">
                  <c:v>50.164663622952112</c:v>
                </c:pt>
                <c:pt idx="37">
                  <c:v>51.971203456169803</c:v>
                </c:pt>
                <c:pt idx="38">
                  <c:v>53.817728910276244</c:v>
                </c:pt>
                <c:pt idx="39">
                  <c:v>55.704239985271464</c:v>
                </c:pt>
                <c:pt idx="40">
                  <c:v>57.630736681155454</c:v>
                </c:pt>
                <c:pt idx="41">
                  <c:v>59.597218997928181</c:v>
                </c:pt>
                <c:pt idx="42">
                  <c:v>61.603686935589693</c:v>
                </c:pt>
                <c:pt idx="43">
                  <c:v>63.650140494139954</c:v>
                </c:pt>
                <c:pt idx="44">
                  <c:v>65.736579673578987</c:v>
                </c:pt>
                <c:pt idx="45">
                  <c:v>67.863004473906784</c:v>
                </c:pt>
                <c:pt idx="46">
                  <c:v>70.029414895123352</c:v>
                </c:pt>
                <c:pt idx="47">
                  <c:v>72.235810937228678</c:v>
                </c:pt>
                <c:pt idx="48">
                  <c:v>74.48219260022276</c:v>
                </c:pt>
                <c:pt idx="49">
                  <c:v>76.768559884105628</c:v>
                </c:pt>
                <c:pt idx="50">
                  <c:v>79.094912788877238</c:v>
                </c:pt>
                <c:pt idx="51">
                  <c:v>81.46125131453762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785-4B6B-B734-09962E9CFE5D}"/>
            </c:ext>
          </c:extLst>
        </c:ser>
        <c:ser>
          <c:idx val="21"/>
          <c:order val="21"/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поверхность'!$B$25:$BA$25</c:f>
              <c:numCache>
                <c:formatCode>General</c:formatCode>
                <c:ptCount val="52"/>
                <c:pt idx="0">
                  <c:v>4.0000000000000009</c:v>
                </c:pt>
                <c:pt idx="1">
                  <c:v>12.929527803033128</c:v>
                </c:pt>
                <c:pt idx="2">
                  <c:v>13.354646196076359</c:v>
                </c:pt>
                <c:pt idx="3">
                  <c:v>13.819750210008356</c:v>
                </c:pt>
                <c:pt idx="4">
                  <c:v>14.324839844829116</c:v>
                </c:pt>
                <c:pt idx="5">
                  <c:v>14.869915100538641</c:v>
                </c:pt>
                <c:pt idx="6">
                  <c:v>15.454975977136932</c:v>
                </c:pt>
                <c:pt idx="7">
                  <c:v>16.080022474623988</c:v>
                </c:pt>
                <c:pt idx="8">
                  <c:v>16.745054592999807</c:v>
                </c:pt>
                <c:pt idx="9">
                  <c:v>17.450072332264394</c:v>
                </c:pt>
                <c:pt idx="10">
                  <c:v>18.195075692417745</c:v>
                </c:pt>
                <c:pt idx="11">
                  <c:v>18.980064673459861</c:v>
                </c:pt>
                <c:pt idx="12">
                  <c:v>19.80503927539074</c:v>
                </c:pt>
                <c:pt idx="13">
                  <c:v>20.669999498210387</c:v>
                </c:pt>
                <c:pt idx="14">
                  <c:v>21.574945341918799</c:v>
                </c:pt>
                <c:pt idx="15">
                  <c:v>22.519876806515974</c:v>
                </c:pt>
                <c:pt idx="16">
                  <c:v>23.504793892001913</c:v>
                </c:pt>
                <c:pt idx="17">
                  <c:v>24.529696598376621</c:v>
                </c:pt>
                <c:pt idx="18">
                  <c:v>25.594584925640095</c:v>
                </c:pt>
                <c:pt idx="19">
                  <c:v>26.699458873792327</c:v>
                </c:pt>
                <c:pt idx="20">
                  <c:v>27.84431844283333</c:v>
                </c:pt>
                <c:pt idx="21">
                  <c:v>29.029163632763098</c:v>
                </c:pt>
                <c:pt idx="22">
                  <c:v>30.253994443581625</c:v>
                </c:pt>
                <c:pt idx="23">
                  <c:v>31.518810875288924</c:v>
                </c:pt>
                <c:pt idx="24">
                  <c:v>32.823612927884987</c:v>
                </c:pt>
                <c:pt idx="25">
                  <c:v>34.168400601369811</c:v>
                </c:pt>
                <c:pt idx="26">
                  <c:v>35.553173895743399</c:v>
                </c:pt>
                <c:pt idx="27">
                  <c:v>36.977932811005758</c:v>
                </c:pt>
                <c:pt idx="28">
                  <c:v>38.442677347156881</c:v>
                </c:pt>
                <c:pt idx="29">
                  <c:v>39.947407504196768</c:v>
                </c:pt>
                <c:pt idx="30">
                  <c:v>41.492123282125419</c:v>
                </c:pt>
                <c:pt idx="31">
                  <c:v>43.076824680942835</c:v>
                </c:pt>
                <c:pt idx="32">
                  <c:v>44.701511700649021</c:v>
                </c:pt>
                <c:pt idx="33">
                  <c:v>46.366184341243965</c:v>
                </c:pt>
                <c:pt idx="34">
                  <c:v>48.07084260272768</c:v>
                </c:pt>
                <c:pt idx="35">
                  <c:v>49.815486485100152</c:v>
                </c:pt>
                <c:pt idx="36">
                  <c:v>51.600115988361395</c:v>
                </c:pt>
                <c:pt idx="37">
                  <c:v>53.424731112511402</c:v>
                </c:pt>
                <c:pt idx="38">
                  <c:v>55.289331857550181</c:v>
                </c:pt>
                <c:pt idx="39">
                  <c:v>57.193918223477716</c:v>
                </c:pt>
                <c:pt idx="40">
                  <c:v>59.138490210294009</c:v>
                </c:pt>
                <c:pt idx="41">
                  <c:v>61.12304781799908</c:v>
                </c:pt>
                <c:pt idx="42">
                  <c:v>63.147591046592893</c:v>
                </c:pt>
                <c:pt idx="43">
                  <c:v>65.212119896075492</c:v>
                </c:pt>
                <c:pt idx="44">
                  <c:v>67.316634366446834</c:v>
                </c:pt>
                <c:pt idx="45">
                  <c:v>69.461134457706962</c:v>
                </c:pt>
                <c:pt idx="46">
                  <c:v>71.645620169855832</c:v>
                </c:pt>
                <c:pt idx="47">
                  <c:v>73.870091502893487</c:v>
                </c:pt>
                <c:pt idx="48">
                  <c:v>76.134548456819886</c:v>
                </c:pt>
                <c:pt idx="49">
                  <c:v>78.438991031635069</c:v>
                </c:pt>
                <c:pt idx="50">
                  <c:v>80.78341922733901</c:v>
                </c:pt>
                <c:pt idx="51">
                  <c:v>83.167833043931722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8785-4B6B-B734-09962E9CFE5D}"/>
            </c:ext>
          </c:extLst>
        </c:ser>
        <c:ser>
          <c:idx val="22"/>
          <c:order val="22"/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поверхность'!$B$26:$BA$26</c:f>
              <c:numCache>
                <c:formatCode>General</c:formatCode>
                <c:ptCount val="52"/>
                <c:pt idx="0">
                  <c:v>4.2000000000000011</c:v>
                </c:pt>
                <c:pt idx="1">
                  <c:v>13.76780661634432</c:v>
                </c:pt>
                <c:pt idx="2">
                  <c:v>14.211000300319869</c:v>
                </c:pt>
                <c:pt idx="3">
                  <c:v>14.694179605184186</c:v>
                </c:pt>
                <c:pt idx="4">
                  <c:v>15.217344530937266</c:v>
                </c:pt>
                <c:pt idx="5">
                  <c:v>15.780495077579111</c:v>
                </c:pt>
                <c:pt idx="6">
                  <c:v>16.383631245109722</c:v>
                </c:pt>
                <c:pt idx="7">
                  <c:v>17.026753033529097</c:v>
                </c:pt>
                <c:pt idx="8">
                  <c:v>17.70986044283724</c:v>
                </c:pt>
                <c:pt idx="9">
                  <c:v>18.432953473034143</c:v>
                </c:pt>
                <c:pt idx="10">
                  <c:v>19.196032124119814</c:v>
                </c:pt>
                <c:pt idx="11">
                  <c:v>19.999096396094249</c:v>
                </c:pt>
                <c:pt idx="12">
                  <c:v>20.842146288957451</c:v>
                </c:pt>
                <c:pt idx="13">
                  <c:v>21.725181802709415</c:v>
                </c:pt>
                <c:pt idx="14">
                  <c:v>22.648202937350149</c:v>
                </c:pt>
                <c:pt idx="15">
                  <c:v>23.611209692879648</c:v>
                </c:pt>
                <c:pt idx="16">
                  <c:v>24.61420206929791</c:v>
                </c:pt>
                <c:pt idx="17">
                  <c:v>25.657180066604933</c:v>
                </c:pt>
                <c:pt idx="18">
                  <c:v>26.740143684800724</c:v>
                </c:pt>
                <c:pt idx="19">
                  <c:v>27.863092923885283</c:v>
                </c:pt>
                <c:pt idx="20">
                  <c:v>29.026027783858602</c:v>
                </c:pt>
                <c:pt idx="21">
                  <c:v>30.228948264720685</c:v>
                </c:pt>
                <c:pt idx="22">
                  <c:v>31.471854366471536</c:v>
                </c:pt>
                <c:pt idx="23">
                  <c:v>32.754746089111151</c:v>
                </c:pt>
                <c:pt idx="24">
                  <c:v>34.077623432639541</c:v>
                </c:pt>
                <c:pt idx="25">
                  <c:v>35.440486397056688</c:v>
                </c:pt>
                <c:pt idx="26">
                  <c:v>36.843334982362592</c:v>
                </c:pt>
                <c:pt idx="27">
                  <c:v>38.286169188557274</c:v>
                </c:pt>
                <c:pt idx="28">
                  <c:v>39.768989015640713</c:v>
                </c:pt>
                <c:pt idx="29">
                  <c:v>41.291794463612923</c:v>
                </c:pt>
                <c:pt idx="30">
                  <c:v>42.854585532473891</c:v>
                </c:pt>
                <c:pt idx="31">
                  <c:v>44.45736222222363</c:v>
                </c:pt>
                <c:pt idx="32">
                  <c:v>46.100124532862132</c:v>
                </c:pt>
                <c:pt idx="33">
                  <c:v>47.782872464389399</c:v>
                </c:pt>
                <c:pt idx="34">
                  <c:v>49.50560601680543</c:v>
                </c:pt>
                <c:pt idx="35">
                  <c:v>51.268325190110225</c:v>
                </c:pt>
                <c:pt idx="36">
                  <c:v>53.071029984303784</c:v>
                </c:pt>
                <c:pt idx="37">
                  <c:v>54.913720399386115</c:v>
                </c:pt>
                <c:pt idx="38">
                  <c:v>56.796396435357217</c:v>
                </c:pt>
                <c:pt idx="39">
                  <c:v>58.719058092217068</c:v>
                </c:pt>
                <c:pt idx="40">
                  <c:v>60.681705369965684</c:v>
                </c:pt>
                <c:pt idx="41">
                  <c:v>62.684338268603071</c:v>
                </c:pt>
                <c:pt idx="42">
                  <c:v>64.726956788129215</c:v>
                </c:pt>
                <c:pt idx="43">
                  <c:v>66.80956092854413</c:v>
                </c:pt>
                <c:pt idx="44">
                  <c:v>68.932150689847788</c:v>
                </c:pt>
                <c:pt idx="45">
                  <c:v>71.094726072040231</c:v>
                </c:pt>
                <c:pt idx="46">
                  <c:v>73.297287075121432</c:v>
                </c:pt>
                <c:pt idx="47">
                  <c:v>75.539833699091403</c:v>
                </c:pt>
                <c:pt idx="48">
                  <c:v>77.822365943950132</c:v>
                </c:pt>
                <c:pt idx="49">
                  <c:v>80.144883809697617</c:v>
                </c:pt>
                <c:pt idx="50">
                  <c:v>82.507387296333889</c:v>
                </c:pt>
                <c:pt idx="51">
                  <c:v>84.909876403858917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785-4B6B-B734-09962E9CFE5D}"/>
            </c:ext>
          </c:extLst>
        </c:ser>
        <c:ser>
          <c:idx val="23"/>
          <c:order val="23"/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поверхность'!$B$27:$BA$27</c:f>
              <c:numCache>
                <c:formatCode>General</c:formatCode>
                <c:ptCount val="52"/>
                <c:pt idx="0">
                  <c:v>4.4000000000000012</c:v>
                </c:pt>
                <c:pt idx="1">
                  <c:v>14.641547060188611</c:v>
                </c:pt>
                <c:pt idx="2">
                  <c:v>15.102816035096479</c:v>
                </c:pt>
                <c:pt idx="3">
                  <c:v>15.604070630893117</c:v>
                </c:pt>
                <c:pt idx="4">
                  <c:v>16.145310847578518</c:v>
                </c:pt>
                <c:pt idx="5">
                  <c:v>16.726536685152684</c:v>
                </c:pt>
                <c:pt idx="6">
                  <c:v>17.347748143615615</c:v>
                </c:pt>
                <c:pt idx="7">
                  <c:v>18.008945222967309</c:v>
                </c:pt>
                <c:pt idx="8">
                  <c:v>18.710127923207772</c:v>
                </c:pt>
                <c:pt idx="9">
                  <c:v>19.451296244336998</c:v>
                </c:pt>
                <c:pt idx="10">
                  <c:v>20.232450186354988</c:v>
                </c:pt>
                <c:pt idx="11">
                  <c:v>21.053589749261743</c:v>
                </c:pt>
                <c:pt idx="12">
                  <c:v>21.914714933057265</c:v>
                </c:pt>
                <c:pt idx="13">
                  <c:v>22.815825737741548</c:v>
                </c:pt>
                <c:pt idx="14">
                  <c:v>23.756922163314602</c:v>
                </c:pt>
                <c:pt idx="15">
                  <c:v>24.73800420977642</c:v>
                </c:pt>
                <c:pt idx="16">
                  <c:v>25.759071877126999</c:v>
                </c:pt>
                <c:pt idx="17">
                  <c:v>26.820125165366345</c:v>
                </c:pt>
                <c:pt idx="18">
                  <c:v>27.921164074494456</c:v>
                </c:pt>
                <c:pt idx="19">
                  <c:v>29.062188604511338</c:v>
                </c:pt>
                <c:pt idx="20">
                  <c:v>30.243198755416977</c:v>
                </c:pt>
                <c:pt idx="21">
                  <c:v>31.464194527211379</c:v>
                </c:pt>
                <c:pt idx="22">
                  <c:v>32.725175919894554</c:v>
                </c:pt>
                <c:pt idx="23">
                  <c:v>34.026142933466488</c:v>
                </c:pt>
                <c:pt idx="24">
                  <c:v>35.367095567927194</c:v>
                </c:pt>
                <c:pt idx="25">
                  <c:v>36.748033823276657</c:v>
                </c:pt>
                <c:pt idx="26">
                  <c:v>38.168957699514891</c:v>
                </c:pt>
                <c:pt idx="27">
                  <c:v>39.629867196641882</c:v>
                </c:pt>
                <c:pt idx="28">
                  <c:v>41.130762314657652</c:v>
                </c:pt>
                <c:pt idx="29">
                  <c:v>42.671643053562171</c:v>
                </c:pt>
                <c:pt idx="30">
                  <c:v>44.252509413355469</c:v>
                </c:pt>
                <c:pt idx="31">
                  <c:v>45.873361394037524</c:v>
                </c:pt>
                <c:pt idx="32">
                  <c:v>47.534198995608342</c:v>
                </c:pt>
                <c:pt idx="33">
                  <c:v>49.235022218067932</c:v>
                </c:pt>
                <c:pt idx="34">
                  <c:v>50.975831061416287</c:v>
                </c:pt>
                <c:pt idx="35">
                  <c:v>52.756625525653405</c:v>
                </c:pt>
                <c:pt idx="36">
                  <c:v>54.577405610779287</c:v>
                </c:pt>
                <c:pt idx="37">
                  <c:v>56.438171316793934</c:v>
                </c:pt>
                <c:pt idx="38">
                  <c:v>58.338922643697344</c:v>
                </c:pt>
                <c:pt idx="39">
                  <c:v>60.279659591489526</c:v>
                </c:pt>
                <c:pt idx="40">
                  <c:v>62.260382160170465</c:v>
                </c:pt>
                <c:pt idx="41">
                  <c:v>64.281090349740168</c:v>
                </c:pt>
                <c:pt idx="42">
                  <c:v>66.341784160198628</c:v>
                </c:pt>
                <c:pt idx="43">
                  <c:v>68.442463591545845</c:v>
                </c:pt>
                <c:pt idx="44">
                  <c:v>70.583128643781848</c:v>
                </c:pt>
                <c:pt idx="45">
                  <c:v>72.763779316906607</c:v>
                </c:pt>
                <c:pt idx="46">
                  <c:v>74.984415610920124</c:v>
                </c:pt>
                <c:pt idx="47">
                  <c:v>77.245037525822411</c:v>
                </c:pt>
                <c:pt idx="48">
                  <c:v>79.54564506161347</c:v>
                </c:pt>
                <c:pt idx="49">
                  <c:v>81.886238218293272</c:v>
                </c:pt>
                <c:pt idx="50">
                  <c:v>84.266816995861859</c:v>
                </c:pt>
                <c:pt idx="51">
                  <c:v>86.687381394319203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8785-4B6B-B734-09962E9CFE5D}"/>
            </c:ext>
          </c:extLst>
        </c:ser>
        <c:ser>
          <c:idx val="24"/>
          <c:order val="24"/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поверхность'!$B$28:$BA$28</c:f>
              <c:numCache>
                <c:formatCode>General</c:formatCode>
                <c:ptCount val="52"/>
                <c:pt idx="0">
                  <c:v>4.6000000000000014</c:v>
                </c:pt>
                <c:pt idx="1">
                  <c:v>15.550749134566002</c:v>
                </c:pt>
                <c:pt idx="2">
                  <c:v>16.030093400406194</c:v>
                </c:pt>
                <c:pt idx="3">
                  <c:v>16.549423287135152</c:v>
                </c:pt>
                <c:pt idx="4">
                  <c:v>17.10873879475287</c:v>
                </c:pt>
                <c:pt idx="5">
                  <c:v>17.708039923259356</c:v>
                </c:pt>
                <c:pt idx="6">
                  <c:v>18.347326672654606</c:v>
                </c:pt>
                <c:pt idx="7">
                  <c:v>19.026599042938624</c:v>
                </c:pt>
                <c:pt idx="8">
                  <c:v>19.745857034111403</c:v>
                </c:pt>
                <c:pt idx="9">
                  <c:v>20.505100646172949</c:v>
                </c:pt>
                <c:pt idx="10">
                  <c:v>21.304329879123259</c:v>
                </c:pt>
                <c:pt idx="11">
                  <c:v>22.143544732962336</c:v>
                </c:pt>
                <c:pt idx="12">
                  <c:v>23.022745207690178</c:v>
                </c:pt>
                <c:pt idx="13">
                  <c:v>23.941931303306781</c:v>
                </c:pt>
                <c:pt idx="14">
                  <c:v>24.901103019812155</c:v>
                </c:pt>
                <c:pt idx="15">
                  <c:v>25.900260357206289</c:v>
                </c:pt>
                <c:pt idx="16">
                  <c:v>26.939403315489191</c:v>
                </c:pt>
                <c:pt idx="17">
                  <c:v>28.018531894660857</c:v>
                </c:pt>
                <c:pt idx="18">
                  <c:v>29.137646094721294</c:v>
                </c:pt>
                <c:pt idx="19">
                  <c:v>30.296745915670488</c:v>
                </c:pt>
                <c:pt idx="20">
                  <c:v>31.49583135750845</c:v>
                </c:pt>
                <c:pt idx="21">
                  <c:v>32.734902420235173</c:v>
                </c:pt>
                <c:pt idx="22">
                  <c:v>34.013959103850667</c:v>
                </c:pt>
                <c:pt idx="23">
                  <c:v>35.333001408354917</c:v>
                </c:pt>
                <c:pt idx="24">
                  <c:v>36.692029333747946</c:v>
                </c:pt>
                <c:pt idx="25">
                  <c:v>38.091042880029732</c:v>
                </c:pt>
                <c:pt idx="26">
                  <c:v>39.530042047200283</c:v>
                </c:pt>
                <c:pt idx="27">
                  <c:v>41.009026835259597</c:v>
                </c:pt>
                <c:pt idx="28">
                  <c:v>42.527997244207683</c:v>
                </c:pt>
                <c:pt idx="29">
                  <c:v>44.086953274044532</c:v>
                </c:pt>
                <c:pt idx="30">
                  <c:v>45.685894924770139</c:v>
                </c:pt>
                <c:pt idx="31">
                  <c:v>47.324822196384517</c:v>
                </c:pt>
                <c:pt idx="32">
                  <c:v>49.003735088887659</c:v>
                </c:pt>
                <c:pt idx="33">
                  <c:v>50.722633602279572</c:v>
                </c:pt>
                <c:pt idx="34">
                  <c:v>52.481517736560242</c:v>
                </c:pt>
                <c:pt idx="35">
                  <c:v>54.280387491729677</c:v>
                </c:pt>
                <c:pt idx="36">
                  <c:v>56.119242867787875</c:v>
                </c:pt>
                <c:pt idx="37">
                  <c:v>57.998083864734852</c:v>
                </c:pt>
                <c:pt idx="38">
                  <c:v>59.916910482570572</c:v>
                </c:pt>
                <c:pt idx="39">
                  <c:v>61.875722721295077</c:v>
                </c:pt>
                <c:pt idx="40">
                  <c:v>63.874520580908339</c:v>
                </c:pt>
                <c:pt idx="41">
                  <c:v>65.913304061410358</c:v>
                </c:pt>
                <c:pt idx="42">
                  <c:v>67.992073162801134</c:v>
                </c:pt>
                <c:pt idx="43">
                  <c:v>70.110827885080681</c:v>
                </c:pt>
                <c:pt idx="44">
                  <c:v>72.269568228249</c:v>
                </c:pt>
                <c:pt idx="45">
                  <c:v>74.468294192306075</c:v>
                </c:pt>
                <c:pt idx="46">
                  <c:v>76.707005777251922</c:v>
                </c:pt>
                <c:pt idx="47">
                  <c:v>78.985702983086526</c:v>
                </c:pt>
                <c:pt idx="48">
                  <c:v>81.304385809809887</c:v>
                </c:pt>
                <c:pt idx="49">
                  <c:v>83.663054257422033</c:v>
                </c:pt>
                <c:pt idx="50">
                  <c:v>86.06170832592295</c:v>
                </c:pt>
                <c:pt idx="51">
                  <c:v>88.500348015312611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785-4B6B-B734-09962E9CFE5D}"/>
            </c:ext>
          </c:extLst>
        </c:ser>
        <c:ser>
          <c:idx val="25"/>
          <c:order val="25"/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поверхность'!$B$29:$BA$29</c:f>
              <c:numCache>
                <c:formatCode>General</c:formatCode>
                <c:ptCount val="52"/>
                <c:pt idx="0">
                  <c:v>4.8000000000000016</c:v>
                </c:pt>
                <c:pt idx="1">
                  <c:v>16.495412839476494</c:v>
                </c:pt>
                <c:pt idx="2">
                  <c:v>16.992832396249003</c:v>
                </c:pt>
                <c:pt idx="3">
                  <c:v>17.530237573910281</c:v>
                </c:pt>
                <c:pt idx="4">
                  <c:v>18.107628372460322</c:v>
                </c:pt>
                <c:pt idx="5">
                  <c:v>18.725004791899128</c:v>
                </c:pt>
                <c:pt idx="6">
                  <c:v>19.382366832226698</c:v>
                </c:pt>
                <c:pt idx="7">
                  <c:v>20.079714493443035</c:v>
                </c:pt>
                <c:pt idx="8">
                  <c:v>20.817047775548133</c:v>
                </c:pt>
                <c:pt idx="9">
                  <c:v>21.594366678541999</c:v>
                </c:pt>
                <c:pt idx="10">
                  <c:v>22.411671202424628</c:v>
                </c:pt>
                <c:pt idx="11">
                  <c:v>23.268961347196026</c:v>
                </c:pt>
                <c:pt idx="12">
                  <c:v>24.166237112856187</c:v>
                </c:pt>
                <c:pt idx="13">
                  <c:v>25.103498499405113</c:v>
                </c:pt>
                <c:pt idx="14">
                  <c:v>26.080745506842806</c:v>
                </c:pt>
                <c:pt idx="15">
                  <c:v>27.09797813516926</c:v>
                </c:pt>
                <c:pt idx="16">
                  <c:v>28.155196384384482</c:v>
                </c:pt>
                <c:pt idx="17">
                  <c:v>29.252400254488471</c:v>
                </c:pt>
                <c:pt idx="18">
                  <c:v>30.389589745481224</c:v>
                </c:pt>
                <c:pt idx="19">
                  <c:v>31.566764857362738</c:v>
                </c:pt>
                <c:pt idx="20">
                  <c:v>32.783925590133023</c:v>
                </c:pt>
                <c:pt idx="21">
                  <c:v>34.041071943792062</c:v>
                </c:pt>
                <c:pt idx="22">
                  <c:v>35.338203918339872</c:v>
                </c:pt>
                <c:pt idx="23">
                  <c:v>36.675321513776453</c:v>
                </c:pt>
                <c:pt idx="24">
                  <c:v>38.052424730101791</c:v>
                </c:pt>
                <c:pt idx="25">
                  <c:v>39.4695135673159</c:v>
                </c:pt>
                <c:pt idx="26">
                  <c:v>40.926588025418773</c:v>
                </c:pt>
                <c:pt idx="27">
                  <c:v>42.423648104410411</c:v>
                </c:pt>
                <c:pt idx="28">
                  <c:v>43.960693804290813</c:v>
                </c:pt>
                <c:pt idx="29">
                  <c:v>45.537725125059978</c:v>
                </c:pt>
                <c:pt idx="30">
                  <c:v>47.154742066717908</c:v>
                </c:pt>
                <c:pt idx="31">
                  <c:v>48.811744629264616</c:v>
                </c:pt>
                <c:pt idx="32">
                  <c:v>50.508732812700075</c:v>
                </c:pt>
                <c:pt idx="33">
                  <c:v>52.245706617024297</c:v>
                </c:pt>
                <c:pt idx="34">
                  <c:v>54.022666042237297</c:v>
                </c:pt>
                <c:pt idx="35">
                  <c:v>55.839611088339048</c:v>
                </c:pt>
                <c:pt idx="36">
                  <c:v>57.696541755329577</c:v>
                </c:pt>
                <c:pt idx="37">
                  <c:v>59.593458043208869</c:v>
                </c:pt>
                <c:pt idx="38">
                  <c:v>61.530359951976919</c:v>
                </c:pt>
                <c:pt idx="39">
                  <c:v>63.507247481633733</c:v>
                </c:pt>
                <c:pt idx="40">
                  <c:v>65.524120632179319</c:v>
                </c:pt>
                <c:pt idx="41">
                  <c:v>67.580979403613654</c:v>
                </c:pt>
                <c:pt idx="42">
                  <c:v>69.677823795936746</c:v>
                </c:pt>
                <c:pt idx="43">
                  <c:v>71.814653809148624</c:v>
                </c:pt>
                <c:pt idx="44">
                  <c:v>73.991469443249258</c:v>
                </c:pt>
                <c:pt idx="45">
                  <c:v>76.20827069823865</c:v>
                </c:pt>
                <c:pt idx="46">
                  <c:v>78.465057574116813</c:v>
                </c:pt>
                <c:pt idx="47">
                  <c:v>80.761830070883747</c:v>
                </c:pt>
                <c:pt idx="48">
                  <c:v>83.098588188539424</c:v>
                </c:pt>
                <c:pt idx="49">
                  <c:v>85.475331927083886</c:v>
                </c:pt>
                <c:pt idx="50">
                  <c:v>87.892061286517105</c:v>
                </c:pt>
                <c:pt idx="51">
                  <c:v>90.348776266839096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8785-4B6B-B734-09962E9CFE5D}"/>
            </c:ext>
          </c:extLst>
        </c:ser>
        <c:ser>
          <c:idx val="26"/>
          <c:order val="26"/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поверхность'!$B$30:$BA$30</c:f>
              <c:numCache>
                <c:formatCode>General</c:formatCode>
                <c:ptCount val="52"/>
                <c:pt idx="0">
                  <c:v>5.0000000000000018</c:v>
                </c:pt>
                <c:pt idx="1">
                  <c:v>17.475538174920082</c:v>
                </c:pt>
                <c:pt idx="2">
                  <c:v>17.991033022624912</c:v>
                </c:pt>
                <c:pt idx="3">
                  <c:v>18.546513491218512</c:v>
                </c:pt>
                <c:pt idx="4">
                  <c:v>19.14197958070087</c:v>
                </c:pt>
                <c:pt idx="5">
                  <c:v>19.777431291071998</c:v>
                </c:pt>
                <c:pt idx="6">
                  <c:v>20.452868622331888</c:v>
                </c:pt>
                <c:pt idx="7">
                  <c:v>21.168291574480545</c:v>
                </c:pt>
                <c:pt idx="8">
                  <c:v>21.923700147517962</c:v>
                </c:pt>
                <c:pt idx="9">
                  <c:v>22.719094341444148</c:v>
                </c:pt>
                <c:pt idx="10">
                  <c:v>23.554474156259101</c:v>
                </c:pt>
                <c:pt idx="11">
                  <c:v>24.429839591962818</c:v>
                </c:pt>
                <c:pt idx="12">
                  <c:v>25.345190648555295</c:v>
                </c:pt>
                <c:pt idx="13">
                  <c:v>26.300527326036544</c:v>
                </c:pt>
                <c:pt idx="14">
                  <c:v>27.295849624406561</c:v>
                </c:pt>
                <c:pt idx="15">
                  <c:v>28.331157543665334</c:v>
                </c:pt>
                <c:pt idx="16">
                  <c:v>29.406451083812875</c:v>
                </c:pt>
                <c:pt idx="17">
                  <c:v>30.521730244849181</c:v>
                </c:pt>
                <c:pt idx="18">
                  <c:v>31.676995026774254</c:v>
                </c:pt>
                <c:pt idx="19">
                  <c:v>32.872245429588091</c:v>
                </c:pt>
                <c:pt idx="20">
                  <c:v>34.107481453290696</c:v>
                </c:pt>
                <c:pt idx="21">
                  <c:v>35.382703097882057</c:v>
                </c:pt>
                <c:pt idx="22">
                  <c:v>36.69791036336219</c:v>
                </c:pt>
                <c:pt idx="23">
                  <c:v>38.053103249731087</c:v>
                </c:pt>
                <c:pt idx="24">
                  <c:v>39.448281756988749</c:v>
                </c:pt>
                <c:pt idx="25">
                  <c:v>40.883445885135174</c:v>
                </c:pt>
                <c:pt idx="26">
                  <c:v>42.358595634170371</c:v>
                </c:pt>
                <c:pt idx="27">
                  <c:v>43.873731004094324</c:v>
                </c:pt>
                <c:pt idx="28">
                  <c:v>45.428851994907042</c:v>
                </c:pt>
                <c:pt idx="29">
                  <c:v>47.023958606608531</c:v>
                </c:pt>
                <c:pt idx="30">
                  <c:v>48.659050839198784</c:v>
                </c:pt>
                <c:pt idx="31">
                  <c:v>50.334128692677808</c:v>
                </c:pt>
                <c:pt idx="32">
                  <c:v>52.049192167045589</c:v>
                </c:pt>
                <c:pt idx="33">
                  <c:v>53.804241262302135</c:v>
                </c:pt>
                <c:pt idx="34">
                  <c:v>55.599275978447452</c:v>
                </c:pt>
                <c:pt idx="35">
                  <c:v>57.434296315481525</c:v>
                </c:pt>
                <c:pt idx="36">
                  <c:v>59.309302273404363</c:v>
                </c:pt>
                <c:pt idx="37">
                  <c:v>61.224293852215972</c:v>
                </c:pt>
                <c:pt idx="38">
                  <c:v>63.179271051916345</c:v>
                </c:pt>
                <c:pt idx="39">
                  <c:v>65.174233872505482</c:v>
                </c:pt>
                <c:pt idx="40">
                  <c:v>67.209182313983391</c:v>
                </c:pt>
                <c:pt idx="41">
                  <c:v>69.284116376350056</c:v>
                </c:pt>
                <c:pt idx="42">
                  <c:v>71.399036059605464</c:v>
                </c:pt>
                <c:pt idx="43">
                  <c:v>73.553941363749658</c:v>
                </c:pt>
                <c:pt idx="44">
                  <c:v>75.748832288782609</c:v>
                </c:pt>
                <c:pt idx="45">
                  <c:v>77.983708834704316</c:v>
                </c:pt>
                <c:pt idx="46">
                  <c:v>80.258571001514809</c:v>
                </c:pt>
                <c:pt idx="47">
                  <c:v>82.57341878921406</c:v>
                </c:pt>
                <c:pt idx="48">
                  <c:v>84.928252197802067</c:v>
                </c:pt>
                <c:pt idx="49">
                  <c:v>87.323071227278831</c:v>
                </c:pt>
                <c:pt idx="50">
                  <c:v>89.757875877644381</c:v>
                </c:pt>
                <c:pt idx="51">
                  <c:v>92.232666148898687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8785-4B6B-B734-09962E9CFE5D}"/>
            </c:ext>
          </c:extLst>
        </c:ser>
        <c:ser>
          <c:idx val="27"/>
          <c:order val="27"/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поверхность'!$B$31:$BA$31</c:f>
              <c:numCache>
                <c:formatCode>General</c:formatCode>
                <c:ptCount val="52"/>
                <c:pt idx="0">
                  <c:v>5.200000000000002</c:v>
                </c:pt>
                <c:pt idx="1">
                  <c:v>18.491125140896777</c:v>
                </c:pt>
                <c:pt idx="2">
                  <c:v>19.024695279533926</c:v>
                </c:pt>
                <c:pt idx="3">
                  <c:v>19.598251039059839</c:v>
                </c:pt>
                <c:pt idx="4">
                  <c:v>20.211792419474527</c:v>
                </c:pt>
                <c:pt idx="5">
                  <c:v>20.865319420777972</c:v>
                </c:pt>
                <c:pt idx="6">
                  <c:v>21.558832042970181</c:v>
                </c:pt>
                <c:pt idx="7">
                  <c:v>22.292330286051158</c:v>
                </c:pt>
                <c:pt idx="8">
                  <c:v>23.065814150020898</c:v>
                </c:pt>
                <c:pt idx="9">
                  <c:v>23.879283634879403</c:v>
                </c:pt>
                <c:pt idx="10">
                  <c:v>24.732738740626672</c:v>
                </c:pt>
                <c:pt idx="11">
                  <c:v>25.626179467262709</c:v>
                </c:pt>
                <c:pt idx="12">
                  <c:v>26.559605814787513</c:v>
                </c:pt>
                <c:pt idx="13">
                  <c:v>27.533017783201075</c:v>
                </c:pt>
                <c:pt idx="14">
                  <c:v>28.546415372503407</c:v>
                </c:pt>
                <c:pt idx="15">
                  <c:v>29.599798582694504</c:v>
                </c:pt>
                <c:pt idx="16">
                  <c:v>30.693167413774368</c:v>
                </c:pt>
                <c:pt idx="17">
                  <c:v>31.826521865742993</c:v>
                </c:pt>
                <c:pt idx="18">
                  <c:v>32.99986193860039</c:v>
                </c:pt>
                <c:pt idx="19">
                  <c:v>34.213187632346546</c:v>
                </c:pt>
                <c:pt idx="20">
                  <c:v>35.466498946981467</c:v>
                </c:pt>
                <c:pt idx="21">
                  <c:v>36.759795882505152</c:v>
                </c:pt>
                <c:pt idx="22">
                  <c:v>38.093078438917608</c:v>
                </c:pt>
                <c:pt idx="23">
                  <c:v>39.466346616218821</c:v>
                </c:pt>
                <c:pt idx="24">
                  <c:v>40.879600414408806</c:v>
                </c:pt>
                <c:pt idx="25">
                  <c:v>42.332839833487554</c:v>
                </c:pt>
                <c:pt idx="26">
                  <c:v>43.82606487345506</c:v>
                </c:pt>
                <c:pt idx="27">
                  <c:v>45.359275534311344</c:v>
                </c:pt>
                <c:pt idx="28">
                  <c:v>46.932471816056378</c:v>
                </c:pt>
                <c:pt idx="29">
                  <c:v>48.54565371869019</c:v>
                </c:pt>
                <c:pt idx="30">
                  <c:v>50.198821242212766</c:v>
                </c:pt>
                <c:pt idx="31">
                  <c:v>51.891974386624099</c:v>
                </c:pt>
                <c:pt idx="32">
                  <c:v>53.625113151924197</c:v>
                </c:pt>
                <c:pt idx="33">
                  <c:v>55.398237538113072</c:v>
                </c:pt>
                <c:pt idx="34">
                  <c:v>57.211347545190705</c:v>
                </c:pt>
                <c:pt idx="35">
                  <c:v>59.064443173157102</c:v>
                </c:pt>
                <c:pt idx="36">
                  <c:v>60.957524422012263</c:v>
                </c:pt>
                <c:pt idx="37">
                  <c:v>62.890591291756195</c:v>
                </c:pt>
                <c:pt idx="38">
                  <c:v>64.863643782388891</c:v>
                </c:pt>
                <c:pt idx="39">
                  <c:v>66.876681893910344</c:v>
                </c:pt>
                <c:pt idx="40">
                  <c:v>68.929705626320569</c:v>
                </c:pt>
                <c:pt idx="41">
                  <c:v>71.022714979619536</c:v>
                </c:pt>
                <c:pt idx="42">
                  <c:v>73.155709953807289</c:v>
                </c:pt>
                <c:pt idx="43">
                  <c:v>75.328690548883799</c:v>
                </c:pt>
                <c:pt idx="44">
                  <c:v>77.541656764849066</c:v>
                </c:pt>
                <c:pt idx="45">
                  <c:v>79.794608601703104</c:v>
                </c:pt>
                <c:pt idx="46">
                  <c:v>82.087546059445899</c:v>
                </c:pt>
                <c:pt idx="47">
                  <c:v>84.420469138077465</c:v>
                </c:pt>
                <c:pt idx="48">
                  <c:v>86.793377837597802</c:v>
                </c:pt>
                <c:pt idx="49">
                  <c:v>89.206272158006897</c:v>
                </c:pt>
                <c:pt idx="50">
                  <c:v>91.659152099304762</c:v>
                </c:pt>
                <c:pt idx="51">
                  <c:v>94.152017661491385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8785-4B6B-B734-09962E9CFE5D}"/>
            </c:ext>
          </c:extLst>
        </c:ser>
        <c:ser>
          <c:idx val="28"/>
          <c:order val="28"/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поверхность'!$B$32:$BA$32</c:f>
              <c:numCache>
                <c:formatCode>General</c:formatCode>
                <c:ptCount val="52"/>
                <c:pt idx="0">
                  <c:v>5.4000000000000021</c:v>
                </c:pt>
                <c:pt idx="1">
                  <c:v>19.542173737406564</c:v>
                </c:pt>
                <c:pt idx="2">
                  <c:v>20.093819166976036</c:v>
                </c:pt>
                <c:pt idx="3">
                  <c:v>20.685450217434276</c:v>
                </c:pt>
                <c:pt idx="4">
                  <c:v>21.317066888781273</c:v>
                </c:pt>
                <c:pt idx="5">
                  <c:v>21.988669181017041</c:v>
                </c:pt>
                <c:pt idx="6">
                  <c:v>22.70025709414157</c:v>
                </c:pt>
                <c:pt idx="7">
                  <c:v>23.45183062815487</c:v>
                </c:pt>
                <c:pt idx="8">
                  <c:v>24.24338978305693</c:v>
                </c:pt>
                <c:pt idx="9">
                  <c:v>25.074934558847755</c:v>
                </c:pt>
                <c:pt idx="10">
                  <c:v>25.946464955527347</c:v>
                </c:pt>
                <c:pt idx="11">
                  <c:v>26.857980973095703</c:v>
                </c:pt>
                <c:pt idx="12">
                  <c:v>27.809482611552824</c:v>
                </c:pt>
                <c:pt idx="13">
                  <c:v>28.800969870898712</c:v>
                </c:pt>
                <c:pt idx="14">
                  <c:v>29.832442751133364</c:v>
                </c:pt>
                <c:pt idx="15">
                  <c:v>30.903901252256777</c:v>
                </c:pt>
                <c:pt idx="16">
                  <c:v>32.015345374268961</c:v>
                </c:pt>
                <c:pt idx="17">
                  <c:v>33.166775117169912</c:v>
                </c:pt>
                <c:pt idx="18">
                  <c:v>34.358190480959621</c:v>
                </c:pt>
                <c:pt idx="19">
                  <c:v>35.589591465638094</c:v>
                </c:pt>
                <c:pt idx="20">
                  <c:v>36.860978071205338</c:v>
                </c:pt>
                <c:pt idx="21">
                  <c:v>38.172350297661346</c:v>
                </c:pt>
                <c:pt idx="22">
                  <c:v>39.523708145006111</c:v>
                </c:pt>
                <c:pt idx="23">
                  <c:v>40.915051613239655</c:v>
                </c:pt>
                <c:pt idx="24">
                  <c:v>42.346380702361955</c:v>
                </c:pt>
                <c:pt idx="25">
                  <c:v>43.817695412373027</c:v>
                </c:pt>
                <c:pt idx="26">
                  <c:v>45.328995743272849</c:v>
                </c:pt>
                <c:pt idx="27">
                  <c:v>46.880281695061456</c:v>
                </c:pt>
                <c:pt idx="28">
                  <c:v>48.471553267738813</c:v>
                </c:pt>
                <c:pt idx="29">
                  <c:v>50.102810461304941</c:v>
                </c:pt>
                <c:pt idx="30">
                  <c:v>51.774053275759833</c:v>
                </c:pt>
                <c:pt idx="31">
                  <c:v>53.485281711103497</c:v>
                </c:pt>
                <c:pt idx="32">
                  <c:v>55.236495767335917</c:v>
                </c:pt>
                <c:pt idx="33">
                  <c:v>57.027695444457102</c:v>
                </c:pt>
                <c:pt idx="34">
                  <c:v>58.858880742467058</c:v>
                </c:pt>
                <c:pt idx="35">
                  <c:v>60.730051661365778</c:v>
                </c:pt>
                <c:pt idx="36">
                  <c:v>62.641208201153262</c:v>
                </c:pt>
                <c:pt idx="37">
                  <c:v>64.592350361829503</c:v>
                </c:pt>
                <c:pt idx="38">
                  <c:v>66.583478143394515</c:v>
                </c:pt>
                <c:pt idx="39">
                  <c:v>68.614591545848299</c:v>
                </c:pt>
                <c:pt idx="40">
                  <c:v>70.685690569190839</c:v>
                </c:pt>
                <c:pt idx="41">
                  <c:v>72.796775213422137</c:v>
                </c:pt>
                <c:pt idx="42">
                  <c:v>74.947845478542206</c:v>
                </c:pt>
                <c:pt idx="43">
                  <c:v>77.138901364551032</c:v>
                </c:pt>
                <c:pt idx="44">
                  <c:v>79.369942871448615</c:v>
                </c:pt>
                <c:pt idx="45">
                  <c:v>81.640969999234969</c:v>
                </c:pt>
                <c:pt idx="46">
                  <c:v>83.951982747910108</c:v>
                </c:pt>
                <c:pt idx="47">
                  <c:v>86.302981117473976</c:v>
                </c:pt>
                <c:pt idx="48">
                  <c:v>88.693965107926644</c:v>
                </c:pt>
                <c:pt idx="49">
                  <c:v>91.12493471926804</c:v>
                </c:pt>
                <c:pt idx="50">
                  <c:v>93.595889951498236</c:v>
                </c:pt>
                <c:pt idx="51">
                  <c:v>96.106830804617175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8785-4B6B-B734-09962E9CFE5D}"/>
            </c:ext>
          </c:extLst>
        </c:ser>
        <c:ser>
          <c:idx val="29"/>
          <c:order val="29"/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поверхность'!$B$33:$BA$33</c:f>
              <c:numCache>
                <c:formatCode>General</c:formatCode>
                <c:ptCount val="52"/>
                <c:pt idx="0">
                  <c:v>5.6000000000000023</c:v>
                </c:pt>
                <c:pt idx="1">
                  <c:v>20.628683964449458</c:v>
                </c:pt>
                <c:pt idx="2">
                  <c:v>21.198404684951246</c:v>
                </c:pt>
                <c:pt idx="3">
                  <c:v>21.808111026341809</c:v>
                </c:pt>
                <c:pt idx="4">
                  <c:v>22.457802988621125</c:v>
                </c:pt>
                <c:pt idx="5">
                  <c:v>23.147480571789217</c:v>
                </c:pt>
                <c:pt idx="6">
                  <c:v>23.877143775846065</c:v>
                </c:pt>
                <c:pt idx="7">
                  <c:v>24.646792600791677</c:v>
                </c:pt>
                <c:pt idx="8">
                  <c:v>25.456427046626061</c:v>
                </c:pt>
                <c:pt idx="9">
                  <c:v>26.306047113349205</c:v>
                </c:pt>
                <c:pt idx="10">
                  <c:v>27.19565280096112</c:v>
                </c:pt>
                <c:pt idx="11">
                  <c:v>28.125244109461796</c:v>
                </c:pt>
                <c:pt idx="12">
                  <c:v>29.094821038851236</c:v>
                </c:pt>
                <c:pt idx="13">
                  <c:v>30.104383589129444</c:v>
                </c:pt>
                <c:pt idx="14">
                  <c:v>31.153931760296416</c:v>
                </c:pt>
                <c:pt idx="15">
                  <c:v>32.243465552352149</c:v>
                </c:pt>
                <c:pt idx="16">
                  <c:v>33.372984965296652</c:v>
                </c:pt>
                <c:pt idx="17">
                  <c:v>34.54248999912992</c:v>
                </c:pt>
                <c:pt idx="18">
                  <c:v>35.751980653851952</c:v>
                </c:pt>
                <c:pt idx="19">
                  <c:v>37.001456929462748</c:v>
                </c:pt>
                <c:pt idx="20">
                  <c:v>38.290918825962315</c:v>
                </c:pt>
                <c:pt idx="21">
                  <c:v>39.620366343350639</c:v>
                </c:pt>
                <c:pt idx="22">
                  <c:v>40.989799481627728</c:v>
                </c:pt>
                <c:pt idx="23">
                  <c:v>42.399218240793587</c:v>
                </c:pt>
                <c:pt idx="24">
                  <c:v>43.848622620848211</c:v>
                </c:pt>
                <c:pt idx="25">
                  <c:v>45.338012621791606</c:v>
                </c:pt>
                <c:pt idx="26">
                  <c:v>46.867388243623751</c:v>
                </c:pt>
                <c:pt idx="27">
                  <c:v>48.436749486344659</c:v>
                </c:pt>
                <c:pt idx="28">
                  <c:v>50.046096349954347</c:v>
                </c:pt>
                <c:pt idx="29">
                  <c:v>51.695428834452798</c:v>
                </c:pt>
                <c:pt idx="30">
                  <c:v>53.384746939839999</c:v>
                </c:pt>
                <c:pt idx="31">
                  <c:v>55.114050666115986</c:v>
                </c:pt>
                <c:pt idx="32">
                  <c:v>56.88334001328073</c:v>
                </c:pt>
                <c:pt idx="33">
                  <c:v>58.692614981334238</c:v>
                </c:pt>
                <c:pt idx="34">
                  <c:v>60.541875570276517</c:v>
                </c:pt>
                <c:pt idx="35">
                  <c:v>62.431121780107546</c:v>
                </c:pt>
                <c:pt idx="36">
                  <c:v>64.36035361082736</c:v>
                </c:pt>
                <c:pt idx="37">
                  <c:v>66.329571062435917</c:v>
                </c:pt>
                <c:pt idx="38">
                  <c:v>68.33877413493326</c:v>
                </c:pt>
                <c:pt idx="39">
                  <c:v>70.387962828319345</c:v>
                </c:pt>
                <c:pt idx="40">
                  <c:v>72.477137142594216</c:v>
                </c:pt>
                <c:pt idx="41">
                  <c:v>74.60629707775783</c:v>
                </c:pt>
                <c:pt idx="42">
                  <c:v>76.775442633810201</c:v>
                </c:pt>
                <c:pt idx="43">
                  <c:v>78.984573810751357</c:v>
                </c:pt>
                <c:pt idx="44">
                  <c:v>81.23369060858127</c:v>
                </c:pt>
                <c:pt idx="45">
                  <c:v>83.522793027299954</c:v>
                </c:pt>
                <c:pt idx="46">
                  <c:v>85.851881066907396</c:v>
                </c:pt>
                <c:pt idx="47">
                  <c:v>88.220954727403594</c:v>
                </c:pt>
                <c:pt idx="48">
                  <c:v>90.630014008788564</c:v>
                </c:pt>
                <c:pt idx="49">
                  <c:v>93.079058911062305</c:v>
                </c:pt>
                <c:pt idx="50">
                  <c:v>95.568089434224802</c:v>
                </c:pt>
                <c:pt idx="51">
                  <c:v>98.097105578276071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785-4B6B-B734-09962E9CFE5D}"/>
            </c:ext>
          </c:extLst>
        </c:ser>
        <c:ser>
          <c:idx val="30"/>
          <c:order val="30"/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поверхность'!$B$34:$BA$34</c:f>
              <c:numCache>
                <c:formatCode>General</c:formatCode>
                <c:ptCount val="52"/>
                <c:pt idx="0">
                  <c:v>5.8000000000000025</c:v>
                </c:pt>
                <c:pt idx="1">
                  <c:v>21.75065582202545</c:v>
                </c:pt>
                <c:pt idx="2">
                  <c:v>22.338451833459562</c:v>
                </c:pt>
                <c:pt idx="3">
                  <c:v>22.966233465782441</c:v>
                </c:pt>
                <c:pt idx="4">
                  <c:v>23.634000718994081</c:v>
                </c:pt>
                <c:pt idx="5">
                  <c:v>24.341753593094488</c:v>
                </c:pt>
                <c:pt idx="6">
                  <c:v>25.089492088083659</c:v>
                </c:pt>
                <c:pt idx="7">
                  <c:v>25.877216203961595</c:v>
                </c:pt>
                <c:pt idx="8">
                  <c:v>26.704925940728295</c:v>
                </c:pt>
                <c:pt idx="9">
                  <c:v>27.572621298383758</c:v>
                </c:pt>
                <c:pt idx="10">
                  <c:v>28.480302276927993</c:v>
                </c:pt>
                <c:pt idx="11">
                  <c:v>29.427968876360989</c:v>
                </c:pt>
                <c:pt idx="12">
                  <c:v>30.415621096682749</c:v>
                </c:pt>
                <c:pt idx="13">
                  <c:v>31.443258937893276</c:v>
                </c:pt>
                <c:pt idx="14">
                  <c:v>32.510882399992575</c:v>
                </c:pt>
                <c:pt idx="15">
                  <c:v>33.618491482980623</c:v>
                </c:pt>
                <c:pt idx="16">
                  <c:v>34.76608618685745</c:v>
                </c:pt>
                <c:pt idx="17">
                  <c:v>35.953666511623041</c:v>
                </c:pt>
                <c:pt idx="18">
                  <c:v>37.181232457277389</c:v>
                </c:pt>
                <c:pt idx="19">
                  <c:v>38.448784023820501</c:v>
                </c:pt>
                <c:pt idx="20">
                  <c:v>39.756321211252391</c:v>
                </c:pt>
                <c:pt idx="21">
                  <c:v>41.103844019573032</c:v>
                </c:pt>
                <c:pt idx="22">
                  <c:v>42.491352448782443</c:v>
                </c:pt>
                <c:pt idx="23">
                  <c:v>43.918846498880626</c:v>
                </c:pt>
                <c:pt idx="24">
                  <c:v>45.386326169867566</c:v>
                </c:pt>
                <c:pt idx="25">
                  <c:v>46.89379146174327</c:v>
                </c:pt>
                <c:pt idx="26">
                  <c:v>48.441242374507738</c:v>
                </c:pt>
                <c:pt idx="27">
                  <c:v>50.028678908160984</c:v>
                </c:pt>
                <c:pt idx="28">
                  <c:v>51.65610106270298</c:v>
                </c:pt>
                <c:pt idx="29">
                  <c:v>53.323508838133748</c:v>
                </c:pt>
                <c:pt idx="30">
                  <c:v>55.030902234453286</c:v>
                </c:pt>
                <c:pt idx="31">
                  <c:v>56.778281251661582</c:v>
                </c:pt>
                <c:pt idx="32">
                  <c:v>58.565645889758642</c:v>
                </c:pt>
                <c:pt idx="33">
                  <c:v>60.392996148744473</c:v>
                </c:pt>
                <c:pt idx="34">
                  <c:v>62.260332028619075</c:v>
                </c:pt>
                <c:pt idx="35">
                  <c:v>64.16765352938242</c:v>
                </c:pt>
                <c:pt idx="36">
                  <c:v>66.114960651034551</c:v>
                </c:pt>
                <c:pt idx="37">
                  <c:v>68.102253393575438</c:v>
                </c:pt>
                <c:pt idx="38">
                  <c:v>70.129531757005083</c:v>
                </c:pt>
                <c:pt idx="39">
                  <c:v>72.196795741323513</c:v>
                </c:pt>
                <c:pt idx="40">
                  <c:v>74.3040453465307</c:v>
                </c:pt>
                <c:pt idx="41">
                  <c:v>76.451280572626629</c:v>
                </c:pt>
                <c:pt idx="42">
                  <c:v>78.638501419611345</c:v>
                </c:pt>
                <c:pt idx="43">
                  <c:v>80.865707887484803</c:v>
                </c:pt>
                <c:pt idx="44">
                  <c:v>83.132899976247032</c:v>
                </c:pt>
                <c:pt idx="45">
                  <c:v>85.440077685898018</c:v>
                </c:pt>
                <c:pt idx="46">
                  <c:v>87.78724101643779</c:v>
                </c:pt>
                <c:pt idx="47">
                  <c:v>90.174389967866304</c:v>
                </c:pt>
                <c:pt idx="48">
                  <c:v>92.601524540183604</c:v>
                </c:pt>
                <c:pt idx="49">
                  <c:v>95.068644733389661</c:v>
                </c:pt>
                <c:pt idx="50">
                  <c:v>97.575750547484475</c:v>
                </c:pt>
                <c:pt idx="51">
                  <c:v>100.12284198246806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8785-4B6B-B734-09962E9CFE5D}"/>
            </c:ext>
          </c:extLst>
        </c:ser>
        <c:ser>
          <c:idx val="31"/>
          <c:order val="31"/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поверхность'!$B$35:$BA$35</c:f>
              <c:numCache>
                <c:formatCode>General</c:formatCode>
                <c:ptCount val="52"/>
                <c:pt idx="0">
                  <c:v>6.0000000000000027</c:v>
                </c:pt>
                <c:pt idx="1">
                  <c:v>22.908089310134542</c:v>
                </c:pt>
                <c:pt idx="2">
                  <c:v>23.513960612500973</c:v>
                </c:pt>
                <c:pt idx="3">
                  <c:v>24.159817535756169</c:v>
                </c:pt>
                <c:pt idx="4">
                  <c:v>24.845660079900131</c:v>
                </c:pt>
                <c:pt idx="5">
                  <c:v>25.571488244932862</c:v>
                </c:pt>
                <c:pt idx="6">
                  <c:v>26.337302030854346</c:v>
                </c:pt>
                <c:pt idx="7">
                  <c:v>27.143101437664605</c:v>
                </c:pt>
                <c:pt idx="8">
                  <c:v>27.988886465363628</c:v>
                </c:pt>
                <c:pt idx="9">
                  <c:v>28.874657113951411</c:v>
                </c:pt>
                <c:pt idx="10">
                  <c:v>29.800413383427962</c:v>
                </c:pt>
                <c:pt idx="11">
                  <c:v>30.766155273793281</c:v>
                </c:pt>
                <c:pt idx="12">
                  <c:v>31.77188278504736</c:v>
                </c:pt>
                <c:pt idx="13">
                  <c:v>32.817595917190211</c:v>
                </c:pt>
                <c:pt idx="14">
                  <c:v>33.903294670221818</c:v>
                </c:pt>
                <c:pt idx="15">
                  <c:v>35.028979044142197</c:v>
                </c:pt>
                <c:pt idx="16">
                  <c:v>36.19464903895134</c:v>
                </c:pt>
                <c:pt idx="17">
                  <c:v>37.400304654649247</c:v>
                </c:pt>
                <c:pt idx="18">
                  <c:v>38.645945891235925</c:v>
                </c:pt>
                <c:pt idx="19">
                  <c:v>39.931572748711361</c:v>
                </c:pt>
                <c:pt idx="20">
                  <c:v>41.25718522707556</c:v>
                </c:pt>
                <c:pt idx="21">
                  <c:v>42.622783326328523</c:v>
                </c:pt>
                <c:pt idx="22">
                  <c:v>44.028367046470258</c:v>
                </c:pt>
                <c:pt idx="23">
                  <c:v>45.473936387500757</c:v>
                </c:pt>
                <c:pt idx="24">
                  <c:v>46.95949134942002</c:v>
                </c:pt>
                <c:pt idx="25">
                  <c:v>48.485031932228047</c:v>
                </c:pt>
                <c:pt idx="26">
                  <c:v>50.050558135924831</c:v>
                </c:pt>
                <c:pt idx="27">
                  <c:v>51.656069960510393</c:v>
                </c:pt>
                <c:pt idx="28">
                  <c:v>53.301567405984713</c:v>
                </c:pt>
                <c:pt idx="29">
                  <c:v>54.987050472347804</c:v>
                </c:pt>
                <c:pt idx="30">
                  <c:v>56.712519159599658</c:v>
                </c:pt>
                <c:pt idx="31">
                  <c:v>58.477973467740277</c:v>
                </c:pt>
                <c:pt idx="32">
                  <c:v>60.28341339676966</c:v>
                </c:pt>
                <c:pt idx="33">
                  <c:v>62.128838946687807</c:v>
                </c:pt>
                <c:pt idx="34">
                  <c:v>64.014250117494726</c:v>
                </c:pt>
                <c:pt idx="35">
                  <c:v>65.939646909190401</c:v>
                </c:pt>
                <c:pt idx="36">
                  <c:v>67.905029321774833</c:v>
                </c:pt>
                <c:pt idx="37">
                  <c:v>69.910397355248051</c:v>
                </c:pt>
                <c:pt idx="38">
                  <c:v>71.955751009610026</c:v>
                </c:pt>
                <c:pt idx="39">
                  <c:v>74.041090284860758</c:v>
                </c:pt>
                <c:pt idx="40">
                  <c:v>76.166415181000261</c:v>
                </c:pt>
                <c:pt idx="41">
                  <c:v>78.331725698028521</c:v>
                </c:pt>
                <c:pt idx="42">
                  <c:v>80.537021835945552</c:v>
                </c:pt>
                <c:pt idx="43">
                  <c:v>82.78230359475134</c:v>
                </c:pt>
                <c:pt idx="44">
                  <c:v>85.067570974445886</c:v>
                </c:pt>
                <c:pt idx="45">
                  <c:v>87.392823975029202</c:v>
                </c:pt>
                <c:pt idx="46">
                  <c:v>89.75806259650129</c:v>
                </c:pt>
                <c:pt idx="47">
                  <c:v>92.163286838862135</c:v>
                </c:pt>
                <c:pt idx="48">
                  <c:v>94.608496702111736</c:v>
                </c:pt>
                <c:pt idx="49">
                  <c:v>97.093692186250109</c:v>
                </c:pt>
                <c:pt idx="50">
                  <c:v>99.618873291277268</c:v>
                </c:pt>
                <c:pt idx="51">
                  <c:v>102.18404001719315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8785-4B6B-B734-09962E9CFE5D}"/>
            </c:ext>
          </c:extLst>
        </c:ser>
        <c:ser>
          <c:idx val="32"/>
          <c:order val="32"/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поверхность'!$B$36:$BA$36</c:f>
              <c:numCache>
                <c:formatCode>General</c:formatCode>
                <c:ptCount val="52"/>
                <c:pt idx="0">
                  <c:v>6.2000000000000028</c:v>
                </c:pt>
                <c:pt idx="1">
                  <c:v>24.100984428776734</c:v>
                </c:pt>
                <c:pt idx="2">
                  <c:v>24.724931022075484</c:v>
                </c:pt>
                <c:pt idx="3">
                  <c:v>25.388863236263003</c:v>
                </c:pt>
                <c:pt idx="4">
                  <c:v>26.092781071339282</c:v>
                </c:pt>
                <c:pt idx="5">
                  <c:v>26.836684527304332</c:v>
                </c:pt>
                <c:pt idx="6">
                  <c:v>27.620573604158142</c:v>
                </c:pt>
                <c:pt idx="7">
                  <c:v>28.444448301900717</c:v>
                </c:pt>
                <c:pt idx="8">
                  <c:v>29.30830862053206</c:v>
                </c:pt>
                <c:pt idx="9">
                  <c:v>30.212154560052163</c:v>
                </c:pt>
                <c:pt idx="10">
                  <c:v>31.155986120461037</c:v>
                </c:pt>
                <c:pt idx="11">
                  <c:v>32.139803301758676</c:v>
                </c:pt>
                <c:pt idx="12">
                  <c:v>33.163606103945071</c:v>
                </c:pt>
                <c:pt idx="13">
                  <c:v>34.227394527020245</c:v>
                </c:pt>
                <c:pt idx="14">
                  <c:v>35.331168570984175</c:v>
                </c:pt>
                <c:pt idx="15">
                  <c:v>36.47492823583687</c:v>
                </c:pt>
                <c:pt idx="16">
                  <c:v>37.658673521578336</c:v>
                </c:pt>
                <c:pt idx="17">
                  <c:v>38.882404428208559</c:v>
                </c:pt>
                <c:pt idx="18">
                  <c:v>40.146120955727554</c:v>
                </c:pt>
                <c:pt idx="19">
                  <c:v>41.449823104135305</c:v>
                </c:pt>
                <c:pt idx="20">
                  <c:v>42.793510873431835</c:v>
                </c:pt>
                <c:pt idx="21">
                  <c:v>44.177184263617114</c:v>
                </c:pt>
                <c:pt idx="22">
                  <c:v>45.600843274691172</c:v>
                </c:pt>
                <c:pt idx="23">
                  <c:v>47.064487906653987</c:v>
                </c:pt>
                <c:pt idx="24">
                  <c:v>48.568118159505573</c:v>
                </c:pt>
                <c:pt idx="25">
                  <c:v>50.111734033245916</c:v>
                </c:pt>
                <c:pt idx="26">
                  <c:v>51.695335527875031</c:v>
                </c:pt>
                <c:pt idx="27">
                  <c:v>53.318922643392909</c:v>
                </c:pt>
                <c:pt idx="28">
                  <c:v>54.982495379799552</c:v>
                </c:pt>
                <c:pt idx="29">
                  <c:v>56.686053737094959</c:v>
                </c:pt>
                <c:pt idx="30">
                  <c:v>58.429597715279129</c:v>
                </c:pt>
                <c:pt idx="31">
                  <c:v>60.213127314352072</c:v>
                </c:pt>
                <c:pt idx="32">
                  <c:v>62.036642534313771</c:v>
                </c:pt>
                <c:pt idx="33">
                  <c:v>63.900143375164241</c:v>
                </c:pt>
                <c:pt idx="34">
                  <c:v>65.803629836903482</c:v>
                </c:pt>
                <c:pt idx="35">
                  <c:v>67.747101919531474</c:v>
                </c:pt>
                <c:pt idx="36">
                  <c:v>69.730559623048237</c:v>
                </c:pt>
                <c:pt idx="37">
                  <c:v>71.754002947453756</c:v>
                </c:pt>
                <c:pt idx="38">
                  <c:v>73.817431892748061</c:v>
                </c:pt>
                <c:pt idx="39">
                  <c:v>75.920846458931123</c:v>
                </c:pt>
                <c:pt idx="40">
                  <c:v>78.064246646002942</c:v>
                </c:pt>
                <c:pt idx="41">
                  <c:v>80.247632453963519</c:v>
                </c:pt>
                <c:pt idx="42">
                  <c:v>82.471003882812866</c:v>
                </c:pt>
                <c:pt idx="43">
                  <c:v>84.73436093255097</c:v>
                </c:pt>
                <c:pt idx="44">
                  <c:v>87.037703603177832</c:v>
                </c:pt>
                <c:pt idx="45">
                  <c:v>89.381031894693479</c:v>
                </c:pt>
                <c:pt idx="46">
                  <c:v>91.764345807097868</c:v>
                </c:pt>
                <c:pt idx="47">
                  <c:v>94.187645340391043</c:v>
                </c:pt>
                <c:pt idx="48">
                  <c:v>96.650930494572975</c:v>
                </c:pt>
                <c:pt idx="49">
                  <c:v>99.154201269643664</c:v>
                </c:pt>
                <c:pt idx="50">
                  <c:v>101.69745766560314</c:v>
                </c:pt>
                <c:pt idx="51">
                  <c:v>104.28069968245136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785-4B6B-B734-09962E9CFE5D}"/>
            </c:ext>
          </c:extLst>
        </c:ser>
        <c:ser>
          <c:idx val="33"/>
          <c:order val="33"/>
          <c:spPr>
            <a:ln w="95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поверхность'!$B$37:$BA$37</c:f>
              <c:numCache>
                <c:formatCode>General</c:formatCode>
                <c:ptCount val="52"/>
                <c:pt idx="0">
                  <c:v>6.400000000000003</c:v>
                </c:pt>
                <c:pt idx="1">
                  <c:v>25.329341177952024</c:v>
                </c:pt>
                <c:pt idx="2">
                  <c:v>25.971363062183098</c:v>
                </c:pt>
                <c:pt idx="3">
                  <c:v>26.653370567302936</c:v>
                </c:pt>
                <c:pt idx="4">
                  <c:v>27.375363693311538</c:v>
                </c:pt>
                <c:pt idx="5">
                  <c:v>28.137342440208904</c:v>
                </c:pt>
                <c:pt idx="6">
                  <c:v>28.939306807995038</c:v>
                </c:pt>
                <c:pt idx="7">
                  <c:v>29.781256796669929</c:v>
                </c:pt>
                <c:pt idx="8">
                  <c:v>30.663192406233591</c:v>
                </c:pt>
                <c:pt idx="9">
                  <c:v>31.585113636686017</c:v>
                </c:pt>
                <c:pt idx="10">
                  <c:v>32.547020488027215</c:v>
                </c:pt>
                <c:pt idx="11">
                  <c:v>33.548912960257169</c:v>
                </c:pt>
                <c:pt idx="12">
                  <c:v>34.590791053375888</c:v>
                </c:pt>
                <c:pt idx="13">
                  <c:v>35.672654767383378</c:v>
                </c:pt>
                <c:pt idx="14">
                  <c:v>36.794504102279632</c:v>
                </c:pt>
                <c:pt idx="15">
                  <c:v>37.956339058064643</c:v>
                </c:pt>
                <c:pt idx="16">
                  <c:v>39.158159634738425</c:v>
                </c:pt>
                <c:pt idx="17">
                  <c:v>40.399965832300978</c:v>
                </c:pt>
                <c:pt idx="18">
                  <c:v>41.681757650752289</c:v>
                </c:pt>
                <c:pt idx="19">
                  <c:v>43.00353509009237</c:v>
                </c:pt>
                <c:pt idx="20">
                  <c:v>44.365298150321209</c:v>
                </c:pt>
                <c:pt idx="21">
                  <c:v>45.767046831438819</c:v>
                </c:pt>
                <c:pt idx="22">
                  <c:v>47.208781133445186</c:v>
                </c:pt>
                <c:pt idx="23">
                  <c:v>48.690501056340324</c:v>
                </c:pt>
                <c:pt idx="24">
                  <c:v>50.212206600124233</c:v>
                </c:pt>
                <c:pt idx="25">
                  <c:v>51.773897764796899</c:v>
                </c:pt>
                <c:pt idx="26">
                  <c:v>53.375574550358323</c:v>
                </c:pt>
                <c:pt idx="27">
                  <c:v>55.017236956808524</c:v>
                </c:pt>
                <c:pt idx="28">
                  <c:v>56.698884984147483</c:v>
                </c:pt>
                <c:pt idx="29">
                  <c:v>58.42051863237522</c:v>
                </c:pt>
                <c:pt idx="30">
                  <c:v>60.182137901491707</c:v>
                </c:pt>
                <c:pt idx="31">
                  <c:v>61.983742791496965</c:v>
                </c:pt>
                <c:pt idx="32">
                  <c:v>63.825333302390987</c:v>
                </c:pt>
                <c:pt idx="33">
                  <c:v>65.706909434173781</c:v>
                </c:pt>
                <c:pt idx="34">
                  <c:v>67.628471186845331</c:v>
                </c:pt>
                <c:pt idx="35">
                  <c:v>69.590018560405639</c:v>
                </c:pt>
                <c:pt idx="36">
                  <c:v>71.591551554854732</c:v>
                </c:pt>
                <c:pt idx="37">
                  <c:v>73.633070170192582</c:v>
                </c:pt>
                <c:pt idx="38">
                  <c:v>75.714574406419189</c:v>
                </c:pt>
                <c:pt idx="39">
                  <c:v>77.836064263534567</c:v>
                </c:pt>
                <c:pt idx="40">
                  <c:v>79.997539741538716</c:v>
                </c:pt>
                <c:pt idx="41">
                  <c:v>82.199000840431609</c:v>
                </c:pt>
                <c:pt idx="42">
                  <c:v>84.440447560213286</c:v>
                </c:pt>
                <c:pt idx="43">
                  <c:v>86.721879900883692</c:v>
                </c:pt>
                <c:pt idx="44">
                  <c:v>89.043297862442898</c:v>
                </c:pt>
                <c:pt idx="45">
                  <c:v>91.404701444890847</c:v>
                </c:pt>
                <c:pt idx="46">
                  <c:v>93.806090648227581</c:v>
                </c:pt>
                <c:pt idx="47">
                  <c:v>96.247465472453058</c:v>
                </c:pt>
                <c:pt idx="48">
                  <c:v>98.72882591756732</c:v>
                </c:pt>
                <c:pt idx="49">
                  <c:v>101.25017198357031</c:v>
                </c:pt>
                <c:pt idx="50">
                  <c:v>103.8115036704621</c:v>
                </c:pt>
                <c:pt idx="51">
                  <c:v>106.41282097824265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8785-4B6B-B734-09962E9CFE5D}"/>
            </c:ext>
          </c:extLst>
        </c:ser>
        <c:ser>
          <c:idx val="34"/>
          <c:order val="34"/>
          <c:spPr>
            <a:ln w="95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поверхность'!$B$38:$BA$38</c:f>
              <c:numCache>
                <c:formatCode>General</c:formatCode>
                <c:ptCount val="52"/>
                <c:pt idx="0">
                  <c:v>6.6000000000000032</c:v>
                </c:pt>
                <c:pt idx="1">
                  <c:v>26.593159557660421</c:v>
                </c:pt>
                <c:pt idx="2">
                  <c:v>27.253256732823811</c:v>
                </c:pt>
                <c:pt idx="3">
                  <c:v>27.953339528875972</c:v>
                </c:pt>
                <c:pt idx="4">
                  <c:v>28.69340794581689</c:v>
                </c:pt>
                <c:pt idx="5">
                  <c:v>29.47346198364658</c:v>
                </c:pt>
                <c:pt idx="6">
                  <c:v>30.29350164236503</c:v>
                </c:pt>
                <c:pt idx="7">
                  <c:v>31.153526921972247</c:v>
                </c:pt>
                <c:pt idx="8">
                  <c:v>32.053537822468229</c:v>
                </c:pt>
                <c:pt idx="9">
                  <c:v>32.993534343852971</c:v>
                </c:pt>
                <c:pt idx="10">
                  <c:v>33.973516486126485</c:v>
                </c:pt>
                <c:pt idx="11">
                  <c:v>34.993484249288763</c:v>
                </c:pt>
                <c:pt idx="12">
                  <c:v>36.053437633339804</c:v>
                </c:pt>
                <c:pt idx="13">
                  <c:v>37.15337663827961</c:v>
                </c:pt>
                <c:pt idx="14">
                  <c:v>38.293301264108187</c:v>
                </c:pt>
                <c:pt idx="15">
                  <c:v>39.473211510825521</c:v>
                </c:pt>
                <c:pt idx="16">
                  <c:v>40.69310737843162</c:v>
                </c:pt>
                <c:pt idx="17">
                  <c:v>41.952988866926489</c:v>
                </c:pt>
                <c:pt idx="18">
                  <c:v>43.252855976310123</c:v>
                </c:pt>
                <c:pt idx="19">
                  <c:v>44.592708706582528</c:v>
                </c:pt>
                <c:pt idx="20">
                  <c:v>45.972547057743682</c:v>
                </c:pt>
                <c:pt idx="21">
                  <c:v>47.392371029793615</c:v>
                </c:pt>
                <c:pt idx="22">
                  <c:v>48.852180622732305</c:v>
                </c:pt>
                <c:pt idx="23">
                  <c:v>50.35197583655976</c:v>
                </c:pt>
                <c:pt idx="24">
                  <c:v>51.891756671275992</c:v>
                </c:pt>
                <c:pt idx="25">
                  <c:v>53.471523126880975</c:v>
                </c:pt>
                <c:pt idx="26">
                  <c:v>55.091275203374721</c:v>
                </c:pt>
                <c:pt idx="27">
                  <c:v>56.751012900757246</c:v>
                </c:pt>
                <c:pt idx="28">
                  <c:v>58.450736219028521</c:v>
                </c:pt>
                <c:pt idx="29">
                  <c:v>60.190445158188567</c:v>
                </c:pt>
                <c:pt idx="30">
                  <c:v>61.970139718237391</c:v>
                </c:pt>
                <c:pt idx="31">
                  <c:v>63.789819899174965</c:v>
                </c:pt>
                <c:pt idx="32">
                  <c:v>65.649485701001311</c:v>
                </c:pt>
                <c:pt idx="33">
                  <c:v>67.549137123716406</c:v>
                </c:pt>
                <c:pt idx="34">
                  <c:v>69.488774167320287</c:v>
                </c:pt>
                <c:pt idx="35">
                  <c:v>71.468396831812925</c:v>
                </c:pt>
                <c:pt idx="36">
                  <c:v>73.488005117194334</c:v>
                </c:pt>
                <c:pt idx="37">
                  <c:v>75.5475990234645</c:v>
                </c:pt>
                <c:pt idx="38">
                  <c:v>77.647178550623437</c:v>
                </c:pt>
                <c:pt idx="39">
                  <c:v>79.786743698671131</c:v>
                </c:pt>
                <c:pt idx="40">
                  <c:v>81.966294467607597</c:v>
                </c:pt>
                <c:pt idx="41">
                  <c:v>84.185830857432805</c:v>
                </c:pt>
                <c:pt idx="42">
                  <c:v>86.445352868146784</c:v>
                </c:pt>
                <c:pt idx="43">
                  <c:v>88.744860499749535</c:v>
                </c:pt>
                <c:pt idx="44">
                  <c:v>91.084353752241043</c:v>
                </c:pt>
                <c:pt idx="45">
                  <c:v>93.463832625621336</c:v>
                </c:pt>
                <c:pt idx="46">
                  <c:v>95.883297119890372</c:v>
                </c:pt>
                <c:pt idx="47">
                  <c:v>98.342747235048179</c:v>
                </c:pt>
                <c:pt idx="48">
                  <c:v>100.84218297109474</c:v>
                </c:pt>
                <c:pt idx="49">
                  <c:v>103.38160432803008</c:v>
                </c:pt>
                <c:pt idx="50">
                  <c:v>105.96101130585419</c:v>
                </c:pt>
                <c:pt idx="51">
                  <c:v>108.58040390456705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8785-4B6B-B734-09962E9CFE5D}"/>
            </c:ext>
          </c:extLst>
        </c:ser>
        <c:ser>
          <c:idx val="35"/>
          <c:order val="35"/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поверхность'!$B$39:$BA$39</c:f>
              <c:numCache>
                <c:formatCode>General</c:formatCode>
                <c:ptCount val="52"/>
                <c:pt idx="0">
                  <c:v>6.8000000000000034</c:v>
                </c:pt>
                <c:pt idx="1">
                  <c:v>27.892439567901913</c:v>
                </c:pt>
                <c:pt idx="2">
                  <c:v>28.570612033997623</c:v>
                </c:pt>
                <c:pt idx="3">
                  <c:v>29.2887701209821</c:v>
                </c:pt>
                <c:pt idx="4">
                  <c:v>30.046913828855345</c:v>
                </c:pt>
                <c:pt idx="5">
                  <c:v>30.845043157617351</c:v>
                </c:pt>
                <c:pt idx="6">
                  <c:v>31.683158107268124</c:v>
                </c:pt>
                <c:pt idx="7">
                  <c:v>32.561258677807658</c:v>
                </c:pt>
                <c:pt idx="8">
                  <c:v>33.479344869235959</c:v>
                </c:pt>
                <c:pt idx="9">
                  <c:v>34.437416681553032</c:v>
                </c:pt>
                <c:pt idx="10">
                  <c:v>35.435474114758861</c:v>
                </c:pt>
                <c:pt idx="11">
                  <c:v>36.473517168853455</c:v>
                </c:pt>
                <c:pt idx="12">
                  <c:v>37.55154584383682</c:v>
                </c:pt>
                <c:pt idx="13">
                  <c:v>38.669560139708942</c:v>
                </c:pt>
                <c:pt idx="14">
                  <c:v>39.827560056469835</c:v>
                </c:pt>
                <c:pt idx="15">
                  <c:v>41.025545594119492</c:v>
                </c:pt>
                <c:pt idx="16">
                  <c:v>42.263516752657921</c:v>
                </c:pt>
                <c:pt idx="17">
                  <c:v>43.541473532085107</c:v>
                </c:pt>
                <c:pt idx="18">
                  <c:v>44.859415932401056</c:v>
                </c:pt>
                <c:pt idx="19">
                  <c:v>46.217343953605777</c:v>
                </c:pt>
                <c:pt idx="20">
                  <c:v>47.615257595699255</c:v>
                </c:pt>
                <c:pt idx="21">
                  <c:v>49.053156858681504</c:v>
                </c:pt>
                <c:pt idx="22">
                  <c:v>50.53104174255251</c:v>
                </c:pt>
                <c:pt idx="23">
                  <c:v>52.048912247312288</c:v>
                </c:pt>
                <c:pt idx="24">
                  <c:v>53.606768372960843</c:v>
                </c:pt>
                <c:pt idx="25">
                  <c:v>55.204610119498149</c:v>
                </c:pt>
                <c:pt idx="26">
                  <c:v>56.842437486924219</c:v>
                </c:pt>
                <c:pt idx="27">
                  <c:v>58.520250475239052</c:v>
                </c:pt>
                <c:pt idx="28">
                  <c:v>60.23804908444265</c:v>
                </c:pt>
                <c:pt idx="29">
                  <c:v>61.99583331453502</c:v>
                </c:pt>
                <c:pt idx="30">
                  <c:v>63.79360316551616</c:v>
                </c:pt>
                <c:pt idx="31">
                  <c:v>65.631358637386057</c:v>
                </c:pt>
                <c:pt idx="32">
                  <c:v>67.509099730144726</c:v>
                </c:pt>
                <c:pt idx="33">
                  <c:v>69.426826443792152</c:v>
                </c:pt>
                <c:pt idx="34">
                  <c:v>71.384538778328348</c:v>
                </c:pt>
                <c:pt idx="35">
                  <c:v>73.382236733753302</c:v>
                </c:pt>
                <c:pt idx="36">
                  <c:v>75.419920310067027</c:v>
                </c:pt>
                <c:pt idx="37">
                  <c:v>77.49758950726951</c:v>
                </c:pt>
                <c:pt idx="38">
                  <c:v>79.615244325360763</c:v>
                </c:pt>
                <c:pt idx="39">
                  <c:v>81.772884764340773</c:v>
                </c:pt>
                <c:pt idx="40">
                  <c:v>83.970510824209569</c:v>
                </c:pt>
                <c:pt idx="41">
                  <c:v>86.208122504967108</c:v>
                </c:pt>
                <c:pt idx="42">
                  <c:v>88.485719806613417</c:v>
                </c:pt>
                <c:pt idx="43">
                  <c:v>90.80330272914847</c:v>
                </c:pt>
                <c:pt idx="44">
                  <c:v>93.160871272572308</c:v>
                </c:pt>
                <c:pt idx="45">
                  <c:v>95.558425436884903</c:v>
                </c:pt>
                <c:pt idx="46">
                  <c:v>97.995965222086269</c:v>
                </c:pt>
                <c:pt idx="47">
                  <c:v>100.47349062817641</c:v>
                </c:pt>
                <c:pt idx="48">
                  <c:v>102.99100165515529</c:v>
                </c:pt>
                <c:pt idx="49">
                  <c:v>105.54849830302294</c:v>
                </c:pt>
                <c:pt idx="50">
                  <c:v>108.14598057177936</c:v>
                </c:pt>
                <c:pt idx="51">
                  <c:v>110.78344846142454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785-4B6B-B734-09962E9CFE5D}"/>
            </c:ext>
          </c:extLst>
        </c:ser>
        <c:ser>
          <c:idx val="36"/>
          <c:order val="36"/>
          <c:spPr>
            <a:ln w="95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поверхность'!$B$40:$BA$40</c:f>
              <c:numCache>
                <c:formatCode>General</c:formatCode>
                <c:ptCount val="52"/>
                <c:pt idx="0">
                  <c:v>7.0000000000000036</c:v>
                </c:pt>
                <c:pt idx="1">
                  <c:v>29.227181208676505</c:v>
                </c:pt>
                <c:pt idx="2">
                  <c:v>29.923428965704538</c:v>
                </c:pt>
                <c:pt idx="3">
                  <c:v>30.659662343621338</c:v>
                </c:pt>
                <c:pt idx="4">
                  <c:v>31.435881342426896</c:v>
                </c:pt>
                <c:pt idx="5">
                  <c:v>32.252085962121228</c:v>
                </c:pt>
                <c:pt idx="6">
                  <c:v>33.108276202704317</c:v>
                </c:pt>
                <c:pt idx="7">
                  <c:v>34.004452064176171</c:v>
                </c:pt>
                <c:pt idx="8">
                  <c:v>34.940613546536795</c:v>
                </c:pt>
                <c:pt idx="9">
                  <c:v>35.916760649786184</c:v>
                </c:pt>
                <c:pt idx="10">
                  <c:v>36.932893373924337</c:v>
                </c:pt>
                <c:pt idx="11">
                  <c:v>37.989011718951247</c:v>
                </c:pt>
                <c:pt idx="12">
                  <c:v>39.085115684866935</c:v>
                </c:pt>
                <c:pt idx="13">
                  <c:v>40.22120527167138</c:v>
                </c:pt>
                <c:pt idx="14">
                  <c:v>41.397280479364596</c:v>
                </c:pt>
                <c:pt idx="15">
                  <c:v>42.613341307946563</c:v>
                </c:pt>
                <c:pt idx="16">
                  <c:v>43.869387757417314</c:v>
                </c:pt>
                <c:pt idx="17">
                  <c:v>45.165419827776823</c:v>
                </c:pt>
                <c:pt idx="18">
                  <c:v>46.501437519025089</c:v>
                </c:pt>
                <c:pt idx="19">
                  <c:v>47.877440831162133</c:v>
                </c:pt>
                <c:pt idx="20">
                  <c:v>49.293429764187934</c:v>
                </c:pt>
                <c:pt idx="21">
                  <c:v>50.749404318102499</c:v>
                </c:pt>
                <c:pt idx="22">
                  <c:v>52.245364492905829</c:v>
                </c:pt>
                <c:pt idx="23">
                  <c:v>53.781310288597929</c:v>
                </c:pt>
                <c:pt idx="24">
                  <c:v>55.357241705178794</c:v>
                </c:pt>
                <c:pt idx="25">
                  <c:v>56.973158742648415</c:v>
                </c:pt>
                <c:pt idx="26">
                  <c:v>58.629061401006808</c:v>
                </c:pt>
                <c:pt idx="27">
                  <c:v>60.324949680253965</c:v>
                </c:pt>
                <c:pt idx="28">
                  <c:v>62.060823580389894</c:v>
                </c:pt>
                <c:pt idx="29">
                  <c:v>63.836683101414579</c:v>
                </c:pt>
                <c:pt idx="30">
                  <c:v>65.652528243328035</c:v>
                </c:pt>
                <c:pt idx="31">
                  <c:v>67.508359006130249</c:v>
                </c:pt>
                <c:pt idx="32">
                  <c:v>69.404175389821233</c:v>
                </c:pt>
                <c:pt idx="33">
                  <c:v>71.339977394400989</c:v>
                </c:pt>
                <c:pt idx="34">
                  <c:v>73.315765019869502</c:v>
                </c:pt>
                <c:pt idx="35">
                  <c:v>75.331538266226772</c:v>
                </c:pt>
                <c:pt idx="36">
                  <c:v>77.387297133472813</c:v>
                </c:pt>
                <c:pt idx="37">
                  <c:v>79.483041621607626</c:v>
                </c:pt>
                <c:pt idx="38">
                  <c:v>81.618771730631209</c:v>
                </c:pt>
                <c:pt idx="39">
                  <c:v>83.794487460543536</c:v>
                </c:pt>
                <c:pt idx="40">
                  <c:v>86.010188811344648</c:v>
                </c:pt>
                <c:pt idx="41">
                  <c:v>88.265875783034502</c:v>
                </c:pt>
                <c:pt idx="42">
                  <c:v>90.561548375613114</c:v>
                </c:pt>
                <c:pt idx="43">
                  <c:v>92.897206589080511</c:v>
                </c:pt>
                <c:pt idx="44">
                  <c:v>95.272850423436665</c:v>
                </c:pt>
                <c:pt idx="45">
                  <c:v>97.688479878681576</c:v>
                </c:pt>
                <c:pt idx="46">
                  <c:v>100.14409495481526</c:v>
                </c:pt>
                <c:pt idx="47">
                  <c:v>102.63969565183771</c:v>
                </c:pt>
                <c:pt idx="48">
                  <c:v>105.17528196974891</c:v>
                </c:pt>
                <c:pt idx="49">
                  <c:v>107.7508539085489</c:v>
                </c:pt>
                <c:pt idx="50">
                  <c:v>110.36641146823766</c:v>
                </c:pt>
                <c:pt idx="51">
                  <c:v>113.02195464881514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785-4B6B-B734-09962E9CFE5D}"/>
            </c:ext>
          </c:extLst>
        </c:ser>
        <c:ser>
          <c:idx val="37"/>
          <c:order val="37"/>
          <c:spPr>
            <a:ln w="95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поверхность'!$B$41:$BA$41</c:f>
              <c:numCache>
                <c:formatCode>General</c:formatCode>
                <c:ptCount val="52"/>
                <c:pt idx="0">
                  <c:v>7.2000000000000037</c:v>
                </c:pt>
                <c:pt idx="1">
                  <c:v>30.5973844799842</c:v>
                </c:pt>
                <c:pt idx="2">
                  <c:v>31.311707527944549</c:v>
                </c:pt>
                <c:pt idx="3">
                  <c:v>32.066016196793669</c:v>
                </c:pt>
                <c:pt idx="4">
                  <c:v>32.860310486531553</c:v>
                </c:pt>
                <c:pt idx="5">
                  <c:v>33.694590397158201</c:v>
                </c:pt>
                <c:pt idx="6">
                  <c:v>34.568855928673614</c:v>
                </c:pt>
                <c:pt idx="7">
                  <c:v>35.48310708107779</c:v>
                </c:pt>
                <c:pt idx="8">
                  <c:v>36.437343854370724</c:v>
                </c:pt>
                <c:pt idx="9">
                  <c:v>37.431566248552436</c:v>
                </c:pt>
                <c:pt idx="10">
                  <c:v>38.465774263622905</c:v>
                </c:pt>
                <c:pt idx="11">
                  <c:v>39.539967899582145</c:v>
                </c:pt>
                <c:pt idx="12">
                  <c:v>40.654147156430142</c:v>
                </c:pt>
                <c:pt idx="13">
                  <c:v>41.808312034166917</c:v>
                </c:pt>
                <c:pt idx="14">
                  <c:v>43.00246253279245</c:v>
                </c:pt>
                <c:pt idx="15">
                  <c:v>44.236598652306746</c:v>
                </c:pt>
                <c:pt idx="16">
                  <c:v>45.510720392709807</c:v>
                </c:pt>
                <c:pt idx="17">
                  <c:v>46.824827754001632</c:v>
                </c:pt>
                <c:pt idx="18">
                  <c:v>48.178920736182228</c:v>
                </c:pt>
                <c:pt idx="19">
                  <c:v>49.572999339251581</c:v>
                </c:pt>
                <c:pt idx="20">
                  <c:v>51.007063563209712</c:v>
                </c:pt>
                <c:pt idx="21">
                  <c:v>52.481113408056586</c:v>
                </c:pt>
                <c:pt idx="22">
                  <c:v>53.995148873792246</c:v>
                </c:pt>
                <c:pt idx="23">
                  <c:v>55.549169960416663</c:v>
                </c:pt>
                <c:pt idx="24">
                  <c:v>57.143176667929851</c:v>
                </c:pt>
                <c:pt idx="25">
                  <c:v>58.777168996331795</c:v>
                </c:pt>
                <c:pt idx="26">
                  <c:v>60.451146945622504</c:v>
                </c:pt>
                <c:pt idx="27">
                  <c:v>62.165110515801985</c:v>
                </c:pt>
                <c:pt idx="28">
                  <c:v>63.919059706870229</c:v>
                </c:pt>
                <c:pt idx="29">
                  <c:v>65.71299451882723</c:v>
                </c:pt>
                <c:pt idx="30">
                  <c:v>67.546914951673017</c:v>
                </c:pt>
                <c:pt idx="31">
                  <c:v>69.420821005407547</c:v>
                </c:pt>
                <c:pt idx="32">
                  <c:v>71.334712680030862</c:v>
                </c:pt>
                <c:pt idx="33">
                  <c:v>73.288589975542919</c:v>
                </c:pt>
                <c:pt idx="34">
                  <c:v>75.282452891943748</c:v>
                </c:pt>
                <c:pt idx="35">
                  <c:v>77.316301429233363</c:v>
                </c:pt>
                <c:pt idx="36">
                  <c:v>79.39013558741172</c:v>
                </c:pt>
                <c:pt idx="37">
                  <c:v>81.503955366478849</c:v>
                </c:pt>
                <c:pt idx="38">
                  <c:v>83.657760766434734</c:v>
                </c:pt>
                <c:pt idx="39">
                  <c:v>85.851551787279391</c:v>
                </c:pt>
                <c:pt idx="40">
                  <c:v>88.085328429012819</c:v>
                </c:pt>
                <c:pt idx="41">
                  <c:v>90.359090691634989</c:v>
                </c:pt>
                <c:pt idx="42">
                  <c:v>92.672838575145946</c:v>
                </c:pt>
                <c:pt idx="43">
                  <c:v>95.026572079545659</c:v>
                </c:pt>
                <c:pt idx="44">
                  <c:v>97.420291204834129</c:v>
                </c:pt>
                <c:pt idx="45">
                  <c:v>99.853995951011356</c:v>
                </c:pt>
                <c:pt idx="46">
                  <c:v>102.32768631807737</c:v>
                </c:pt>
                <c:pt idx="47">
                  <c:v>104.84136230603212</c:v>
                </c:pt>
                <c:pt idx="48">
                  <c:v>107.39502391487565</c:v>
                </c:pt>
                <c:pt idx="49">
                  <c:v>109.98867114460793</c:v>
                </c:pt>
                <c:pt idx="50">
                  <c:v>112.622303995229</c:v>
                </c:pt>
                <c:pt idx="51">
                  <c:v>115.29592246673883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785-4B6B-B734-09962E9CFE5D}"/>
            </c:ext>
          </c:extLst>
        </c:ser>
        <c:ser>
          <c:idx val="38"/>
          <c:order val="38"/>
          <c:spPr>
            <a:ln w="95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поверхность'!$B$42:$BA$42</c:f>
              <c:numCache>
                <c:formatCode>General</c:formatCode>
                <c:ptCount val="52"/>
                <c:pt idx="0">
                  <c:v>7.4000000000000039</c:v>
                </c:pt>
                <c:pt idx="1">
                  <c:v>32.003049381824994</c:v>
                </c:pt>
                <c:pt idx="2">
                  <c:v>32.735447720717666</c:v>
                </c:pt>
                <c:pt idx="3">
                  <c:v>33.507831680499109</c:v>
                </c:pt>
                <c:pt idx="4">
                  <c:v>34.320201261169302</c:v>
                </c:pt>
                <c:pt idx="5">
                  <c:v>35.172556462728274</c:v>
                </c:pt>
                <c:pt idx="6">
                  <c:v>36.064897285176002</c:v>
                </c:pt>
                <c:pt idx="7">
                  <c:v>36.997223728512502</c:v>
                </c:pt>
                <c:pt idx="8">
                  <c:v>37.969535792737759</c:v>
                </c:pt>
                <c:pt idx="9">
                  <c:v>38.981833477851787</c:v>
                </c:pt>
                <c:pt idx="10">
                  <c:v>40.034116783854579</c:v>
                </c:pt>
                <c:pt idx="11">
                  <c:v>41.126385710746135</c:v>
                </c:pt>
                <c:pt idx="12">
                  <c:v>42.258640258526455</c:v>
                </c:pt>
                <c:pt idx="13">
                  <c:v>43.43088042719554</c:v>
                </c:pt>
                <c:pt idx="14">
                  <c:v>44.643106216753395</c:v>
                </c:pt>
                <c:pt idx="15">
                  <c:v>45.895317627200022</c:v>
                </c:pt>
                <c:pt idx="16">
                  <c:v>47.187514658535399</c:v>
                </c:pt>
                <c:pt idx="17">
                  <c:v>48.519697310759547</c:v>
                </c:pt>
                <c:pt idx="18">
                  <c:v>49.891865583872459</c:v>
                </c:pt>
                <c:pt idx="19">
                  <c:v>51.304019477874135</c:v>
                </c:pt>
                <c:pt idx="20">
                  <c:v>52.756158992764583</c:v>
                </c:pt>
                <c:pt idx="21">
                  <c:v>54.248284128543787</c:v>
                </c:pt>
                <c:pt idx="22">
                  <c:v>55.780394885211756</c:v>
                </c:pt>
                <c:pt idx="23">
                  <c:v>57.352491262768496</c:v>
                </c:pt>
                <c:pt idx="24">
                  <c:v>58.964573261213999</c:v>
                </c:pt>
                <c:pt idx="25">
                  <c:v>60.616640880548275</c:v>
                </c:pt>
                <c:pt idx="26">
                  <c:v>62.3086941207713</c:v>
                </c:pt>
                <c:pt idx="27">
                  <c:v>64.04073298188311</c:v>
                </c:pt>
                <c:pt idx="28">
                  <c:v>65.812757463883656</c:v>
                </c:pt>
                <c:pt idx="29">
                  <c:v>67.624767566772988</c:v>
                </c:pt>
                <c:pt idx="30">
                  <c:v>69.476763290551091</c:v>
                </c:pt>
                <c:pt idx="31">
                  <c:v>71.368744635217936</c:v>
                </c:pt>
                <c:pt idx="32">
                  <c:v>73.300711600773568</c:v>
                </c:pt>
                <c:pt idx="33">
                  <c:v>75.272664187217956</c:v>
                </c:pt>
                <c:pt idx="34">
                  <c:v>77.284602394551115</c:v>
                </c:pt>
                <c:pt idx="35">
                  <c:v>79.336526222773031</c:v>
                </c:pt>
                <c:pt idx="36">
                  <c:v>81.428435671883705</c:v>
                </c:pt>
                <c:pt idx="37">
                  <c:v>83.560330741883163</c:v>
                </c:pt>
                <c:pt idx="38">
                  <c:v>85.732211432771365</c:v>
                </c:pt>
                <c:pt idx="39">
                  <c:v>87.944077744548352</c:v>
                </c:pt>
                <c:pt idx="40">
                  <c:v>90.195929677214096</c:v>
                </c:pt>
                <c:pt idx="41">
                  <c:v>92.487767230768583</c:v>
                </c:pt>
                <c:pt idx="42">
                  <c:v>94.819590405211869</c:v>
                </c:pt>
                <c:pt idx="43">
                  <c:v>97.191399200543884</c:v>
                </c:pt>
                <c:pt idx="44">
                  <c:v>99.603193616764685</c:v>
                </c:pt>
                <c:pt idx="45">
                  <c:v>102.05497365387423</c:v>
                </c:pt>
                <c:pt idx="46">
                  <c:v>104.54673931187256</c:v>
                </c:pt>
                <c:pt idx="47">
                  <c:v>107.07849059075966</c:v>
                </c:pt>
                <c:pt idx="48">
                  <c:v>109.6502274905355</c:v>
                </c:pt>
                <c:pt idx="49">
                  <c:v>112.26195001120011</c:v>
                </c:pt>
                <c:pt idx="50">
                  <c:v>114.91365815275348</c:v>
                </c:pt>
                <c:pt idx="51">
                  <c:v>117.60535191519563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785-4B6B-B734-09962E9CFE5D}"/>
            </c:ext>
          </c:extLst>
        </c:ser>
        <c:ser>
          <c:idx val="39"/>
          <c:order val="39"/>
          <c:spPr>
            <a:ln w="95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поверхность'!$B$43:$BA$43</c:f>
              <c:numCache>
                <c:formatCode>General</c:formatCode>
                <c:ptCount val="52"/>
                <c:pt idx="0">
                  <c:v>7.6000000000000041</c:v>
                </c:pt>
                <c:pt idx="1">
                  <c:v>33.444175914198887</c:v>
                </c:pt>
                <c:pt idx="2">
                  <c:v>34.194649544023882</c:v>
                </c:pt>
                <c:pt idx="3">
                  <c:v>34.985108794737641</c:v>
                </c:pt>
                <c:pt idx="4">
                  <c:v>35.815553666340158</c:v>
                </c:pt>
                <c:pt idx="5">
                  <c:v>36.685984158831445</c:v>
                </c:pt>
                <c:pt idx="6">
                  <c:v>37.596400272211504</c:v>
                </c:pt>
                <c:pt idx="7">
                  <c:v>38.54680200648032</c:v>
                </c:pt>
                <c:pt idx="8">
                  <c:v>39.537189361637893</c:v>
                </c:pt>
                <c:pt idx="9">
                  <c:v>40.567562337684244</c:v>
                </c:pt>
                <c:pt idx="10">
                  <c:v>41.637920934619359</c:v>
                </c:pt>
                <c:pt idx="11">
                  <c:v>42.748265152443231</c:v>
                </c:pt>
                <c:pt idx="12">
                  <c:v>43.898594991155875</c:v>
                </c:pt>
                <c:pt idx="13">
                  <c:v>45.088910450757282</c:v>
                </c:pt>
                <c:pt idx="14">
                  <c:v>46.319211531247454</c:v>
                </c:pt>
                <c:pt idx="15">
                  <c:v>47.58949823262639</c:v>
                </c:pt>
                <c:pt idx="16">
                  <c:v>48.899770554894097</c:v>
                </c:pt>
                <c:pt idx="17">
                  <c:v>50.250028498050568</c:v>
                </c:pt>
                <c:pt idx="18">
                  <c:v>51.640272062095796</c:v>
                </c:pt>
                <c:pt idx="19">
                  <c:v>53.070501247029796</c:v>
                </c:pt>
                <c:pt idx="20">
                  <c:v>54.540716052852559</c:v>
                </c:pt>
                <c:pt idx="21">
                  <c:v>56.050916479564087</c:v>
                </c:pt>
                <c:pt idx="22">
                  <c:v>57.601102527164372</c:v>
                </c:pt>
                <c:pt idx="23">
                  <c:v>59.191274195653435</c:v>
                </c:pt>
                <c:pt idx="24">
                  <c:v>60.821431485031269</c:v>
                </c:pt>
                <c:pt idx="25">
                  <c:v>62.491574395297853</c:v>
                </c:pt>
                <c:pt idx="26">
                  <c:v>64.201702926453194</c:v>
                </c:pt>
                <c:pt idx="27">
                  <c:v>65.951817078497314</c:v>
                </c:pt>
                <c:pt idx="28">
                  <c:v>67.741916851430204</c:v>
                </c:pt>
                <c:pt idx="29">
                  <c:v>69.572002245251852</c:v>
                </c:pt>
                <c:pt idx="30">
                  <c:v>71.442073259962257</c:v>
                </c:pt>
                <c:pt idx="31">
                  <c:v>73.352129895561447</c:v>
                </c:pt>
                <c:pt idx="32">
                  <c:v>75.302172152049394</c:v>
                </c:pt>
                <c:pt idx="33">
                  <c:v>77.292200029426084</c:v>
                </c:pt>
                <c:pt idx="34">
                  <c:v>79.322213527691574</c:v>
                </c:pt>
                <c:pt idx="35">
                  <c:v>81.392212646845792</c:v>
                </c:pt>
                <c:pt idx="36">
                  <c:v>83.50219738688881</c:v>
                </c:pt>
                <c:pt idx="37">
                  <c:v>85.652167747820585</c:v>
                </c:pt>
                <c:pt idx="38">
                  <c:v>87.842123729641116</c:v>
                </c:pt>
                <c:pt idx="39">
                  <c:v>90.072065332350405</c:v>
                </c:pt>
                <c:pt idx="40">
                  <c:v>92.34199255594848</c:v>
                </c:pt>
                <c:pt idx="41">
                  <c:v>94.651905400435282</c:v>
                </c:pt>
                <c:pt idx="42">
                  <c:v>97.001803865810885</c:v>
                </c:pt>
                <c:pt idx="43">
                  <c:v>99.391687952075216</c:v>
                </c:pt>
                <c:pt idx="44">
                  <c:v>101.82155765922833</c:v>
                </c:pt>
                <c:pt idx="45">
                  <c:v>104.29141298727021</c:v>
                </c:pt>
                <c:pt idx="46">
                  <c:v>106.80125393620085</c:v>
                </c:pt>
                <c:pt idx="47">
                  <c:v>109.35108050602025</c:v>
                </c:pt>
                <c:pt idx="48">
                  <c:v>111.94089269672843</c:v>
                </c:pt>
                <c:pt idx="49">
                  <c:v>114.57069050832536</c:v>
                </c:pt>
                <c:pt idx="50">
                  <c:v>117.24047394081107</c:v>
                </c:pt>
                <c:pt idx="51">
                  <c:v>119.95024299418554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785-4B6B-B734-09962E9CFE5D}"/>
            </c:ext>
          </c:extLst>
        </c:ser>
        <c:ser>
          <c:idx val="40"/>
          <c:order val="40"/>
          <c:spPr>
            <a:ln w="95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поверхность'!$B$44:$BA$44</c:f>
              <c:numCache>
                <c:formatCode>General</c:formatCode>
                <c:ptCount val="52"/>
                <c:pt idx="0">
                  <c:v>7.8000000000000043</c:v>
                </c:pt>
                <c:pt idx="1">
                  <c:v>34.920764077105886</c:v>
                </c:pt>
                <c:pt idx="2">
                  <c:v>35.689312997863198</c:v>
                </c:pt>
                <c:pt idx="3">
                  <c:v>36.497847539509273</c:v>
                </c:pt>
                <c:pt idx="4">
                  <c:v>37.34636770204412</c:v>
                </c:pt>
                <c:pt idx="5">
                  <c:v>38.234873485467723</c:v>
                </c:pt>
                <c:pt idx="6">
                  <c:v>39.163364889780098</c:v>
                </c:pt>
                <c:pt idx="7">
                  <c:v>40.13184191498123</c:v>
                </c:pt>
                <c:pt idx="8">
                  <c:v>41.140304561071133</c:v>
                </c:pt>
                <c:pt idx="9">
                  <c:v>42.1887528280498</c:v>
                </c:pt>
                <c:pt idx="10">
                  <c:v>43.277186715917232</c:v>
                </c:pt>
                <c:pt idx="11">
                  <c:v>44.405606224673427</c:v>
                </c:pt>
                <c:pt idx="12">
                  <c:v>45.574011354318394</c:v>
                </c:pt>
                <c:pt idx="13">
                  <c:v>46.782402104852117</c:v>
                </c:pt>
                <c:pt idx="14">
                  <c:v>48.030778476274612</c:v>
                </c:pt>
                <c:pt idx="15">
                  <c:v>49.319140468585871</c:v>
                </c:pt>
                <c:pt idx="16">
                  <c:v>50.647488081785895</c:v>
                </c:pt>
                <c:pt idx="17">
                  <c:v>52.015821315874682</c:v>
                </c:pt>
                <c:pt idx="18">
                  <c:v>53.424140170852233</c:v>
                </c:pt>
                <c:pt idx="19">
                  <c:v>54.872444646718556</c:v>
                </c:pt>
                <c:pt idx="20">
                  <c:v>56.360734743473628</c:v>
                </c:pt>
                <c:pt idx="21">
                  <c:v>57.889010461117479</c:v>
                </c:pt>
                <c:pt idx="22">
                  <c:v>59.457271799650087</c:v>
                </c:pt>
                <c:pt idx="23">
                  <c:v>61.065518759071466</c:v>
                </c:pt>
                <c:pt idx="24">
                  <c:v>62.713751339381616</c:v>
                </c:pt>
                <c:pt idx="25">
                  <c:v>64.401969540580524</c:v>
                </c:pt>
                <c:pt idx="26">
                  <c:v>66.130173362668202</c:v>
                </c:pt>
                <c:pt idx="27">
                  <c:v>67.898362805644638</c:v>
                </c:pt>
                <c:pt idx="28">
                  <c:v>69.706537869509845</c:v>
                </c:pt>
                <c:pt idx="29">
                  <c:v>71.554698554263808</c:v>
                </c:pt>
                <c:pt idx="30">
                  <c:v>73.442844859906543</c:v>
                </c:pt>
                <c:pt idx="31">
                  <c:v>75.370976786438035</c:v>
                </c:pt>
                <c:pt idx="32">
                  <c:v>77.339094333858299</c:v>
                </c:pt>
                <c:pt idx="33">
                  <c:v>79.347197502167333</c:v>
                </c:pt>
                <c:pt idx="34">
                  <c:v>81.395286291365124</c:v>
                </c:pt>
                <c:pt idx="35">
                  <c:v>83.483360701451687</c:v>
                </c:pt>
                <c:pt idx="36">
                  <c:v>85.611420732427007</c:v>
                </c:pt>
                <c:pt idx="37">
                  <c:v>87.779466384291098</c:v>
                </c:pt>
                <c:pt idx="38">
                  <c:v>89.987497657043946</c:v>
                </c:pt>
                <c:pt idx="39">
                  <c:v>92.235514550685565</c:v>
                </c:pt>
                <c:pt idx="40">
                  <c:v>94.523517065215955</c:v>
                </c:pt>
                <c:pt idx="41">
                  <c:v>96.851505200635088</c:v>
                </c:pt>
                <c:pt idx="42">
                  <c:v>99.219478956942993</c:v>
                </c:pt>
                <c:pt idx="43">
                  <c:v>101.62743833413965</c:v>
                </c:pt>
                <c:pt idx="44">
                  <c:v>104.0753833322251</c:v>
                </c:pt>
                <c:pt idx="45">
                  <c:v>106.56331395119929</c:v>
                </c:pt>
                <c:pt idx="46">
                  <c:v>109.09123019106227</c:v>
                </c:pt>
                <c:pt idx="47">
                  <c:v>111.659132051814</c:v>
                </c:pt>
                <c:pt idx="48">
                  <c:v>114.26701953345447</c:v>
                </c:pt>
                <c:pt idx="49">
                  <c:v>116.91489263598372</c:v>
                </c:pt>
                <c:pt idx="50">
                  <c:v>119.60275135940174</c:v>
                </c:pt>
                <c:pt idx="51">
                  <c:v>122.33059570370852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785-4B6B-B734-09962E9CFE5D}"/>
            </c:ext>
          </c:extLst>
        </c:ser>
        <c:ser>
          <c:idx val="41"/>
          <c:order val="41"/>
          <c:spPr>
            <a:ln w="95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поверхность'!$B$45:$BA$45</c:f>
              <c:numCache>
                <c:formatCode>General</c:formatCode>
                <c:ptCount val="52"/>
                <c:pt idx="0">
                  <c:v>8.0000000000000036</c:v>
                </c:pt>
                <c:pt idx="1">
                  <c:v>36.432813870545971</c:v>
                </c:pt>
                <c:pt idx="2">
                  <c:v>37.219438082235598</c:v>
                </c:pt>
                <c:pt idx="3">
                  <c:v>38.046047914813997</c:v>
                </c:pt>
                <c:pt idx="4">
                  <c:v>38.912643368281159</c:v>
                </c:pt>
                <c:pt idx="5">
                  <c:v>39.819224442637093</c:v>
                </c:pt>
                <c:pt idx="6">
                  <c:v>40.765791137881777</c:v>
                </c:pt>
                <c:pt idx="7">
                  <c:v>41.752343454015239</c:v>
                </c:pt>
                <c:pt idx="8">
                  <c:v>42.778881391037459</c:v>
                </c:pt>
                <c:pt idx="9">
                  <c:v>43.845404948948442</c:v>
                </c:pt>
                <c:pt idx="10">
                  <c:v>44.951914127748196</c:v>
                </c:pt>
                <c:pt idx="11">
                  <c:v>46.098408927436708</c:v>
                </c:pt>
                <c:pt idx="12">
                  <c:v>47.284889348013998</c:v>
                </c:pt>
                <c:pt idx="13">
                  <c:v>48.511355389480038</c:v>
                </c:pt>
                <c:pt idx="14">
                  <c:v>49.777807051834856</c:v>
                </c:pt>
                <c:pt idx="15">
                  <c:v>51.084244335078438</c:v>
                </c:pt>
                <c:pt idx="16">
                  <c:v>52.430667239210777</c:v>
                </c:pt>
                <c:pt idx="17">
                  <c:v>53.817075764231888</c:v>
                </c:pt>
                <c:pt idx="18">
                  <c:v>55.243469910141762</c:v>
                </c:pt>
                <c:pt idx="19">
                  <c:v>56.709849676940394</c:v>
                </c:pt>
                <c:pt idx="20">
                  <c:v>58.216215064627796</c:v>
                </c:pt>
                <c:pt idx="21">
                  <c:v>59.762566073203971</c:v>
                </c:pt>
                <c:pt idx="22">
                  <c:v>61.348902702668894</c:v>
                </c:pt>
                <c:pt idx="23">
                  <c:v>62.97522495302259</c:v>
                </c:pt>
                <c:pt idx="24">
                  <c:v>64.641532824265056</c:v>
                </c:pt>
                <c:pt idx="25">
                  <c:v>66.347826316396294</c:v>
                </c:pt>
                <c:pt idx="26">
                  <c:v>68.094105429416288</c:v>
                </c:pt>
                <c:pt idx="27">
                  <c:v>69.88037016332504</c:v>
                </c:pt>
                <c:pt idx="28">
                  <c:v>71.706620518122548</c:v>
                </c:pt>
                <c:pt idx="29">
                  <c:v>73.572856493808857</c:v>
                </c:pt>
                <c:pt idx="30">
                  <c:v>75.479078090383908</c:v>
                </c:pt>
                <c:pt idx="31">
                  <c:v>77.42528530784773</c:v>
                </c:pt>
                <c:pt idx="32">
                  <c:v>79.411478146200309</c:v>
                </c:pt>
                <c:pt idx="33">
                  <c:v>81.43765660544166</c:v>
                </c:pt>
                <c:pt idx="34">
                  <c:v>83.503820685571768</c:v>
                </c:pt>
                <c:pt idx="35">
                  <c:v>85.609970386590646</c:v>
                </c:pt>
                <c:pt idx="36">
                  <c:v>87.756105708498296</c:v>
                </c:pt>
                <c:pt idx="37">
                  <c:v>89.942226651294703</c:v>
                </c:pt>
                <c:pt idx="38">
                  <c:v>92.168333214979867</c:v>
                </c:pt>
                <c:pt idx="39">
                  <c:v>94.434425399553817</c:v>
                </c:pt>
                <c:pt idx="40">
                  <c:v>96.740503205016523</c:v>
                </c:pt>
                <c:pt idx="41">
                  <c:v>99.086566631367987</c:v>
                </c:pt>
                <c:pt idx="42">
                  <c:v>101.47261567860821</c:v>
                </c:pt>
                <c:pt idx="43">
                  <c:v>103.89865034673718</c:v>
                </c:pt>
                <c:pt idx="44">
                  <c:v>106.36467063575495</c:v>
                </c:pt>
                <c:pt idx="45">
                  <c:v>108.87067654566145</c:v>
                </c:pt>
                <c:pt idx="46">
                  <c:v>111.41666807645674</c:v>
                </c:pt>
                <c:pt idx="47">
                  <c:v>114.00264522814079</c:v>
                </c:pt>
                <c:pt idx="48">
                  <c:v>116.6286080007136</c:v>
                </c:pt>
                <c:pt idx="49">
                  <c:v>119.29455639417517</c:v>
                </c:pt>
                <c:pt idx="50">
                  <c:v>122.00049040852552</c:v>
                </c:pt>
                <c:pt idx="51">
                  <c:v>124.74641004376461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785-4B6B-B734-09962E9CFE5D}"/>
            </c:ext>
          </c:extLst>
        </c:ser>
        <c:ser>
          <c:idx val="42"/>
          <c:order val="42"/>
          <c:spPr>
            <a:ln w="952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поверхность'!$B$46:$BA$46</c:f>
              <c:numCache>
                <c:formatCode>General</c:formatCode>
                <c:ptCount val="52"/>
                <c:pt idx="0">
                  <c:v>8.2000000000000028</c:v>
                </c:pt>
                <c:pt idx="1">
                  <c:v>37.980325294519162</c:v>
                </c:pt>
                <c:pt idx="2">
                  <c:v>38.785024797141112</c:v>
                </c:pt>
                <c:pt idx="3">
                  <c:v>39.629709920651827</c:v>
                </c:pt>
                <c:pt idx="4">
                  <c:v>40.514380665051313</c:v>
                </c:pt>
                <c:pt idx="5">
                  <c:v>41.439037030339556</c:v>
                </c:pt>
                <c:pt idx="6">
                  <c:v>42.40367901651657</c:v>
                </c:pt>
                <c:pt idx="7">
                  <c:v>43.408306623582348</c:v>
                </c:pt>
                <c:pt idx="8">
                  <c:v>44.45291985153689</c:v>
                </c:pt>
                <c:pt idx="9">
                  <c:v>45.537518700380197</c:v>
                </c:pt>
                <c:pt idx="10">
                  <c:v>46.662103170112267</c:v>
                </c:pt>
                <c:pt idx="11">
                  <c:v>47.826673260733102</c:v>
                </c:pt>
                <c:pt idx="12">
                  <c:v>49.031228972242708</c:v>
                </c:pt>
                <c:pt idx="13">
                  <c:v>50.275770304641071</c:v>
                </c:pt>
                <c:pt idx="14">
                  <c:v>51.560297257928205</c:v>
                </c:pt>
                <c:pt idx="15">
                  <c:v>52.884809832104104</c:v>
                </c:pt>
                <c:pt idx="16">
                  <c:v>54.249308027168766</c:v>
                </c:pt>
                <c:pt idx="17">
                  <c:v>55.653791843122193</c:v>
                </c:pt>
                <c:pt idx="18">
                  <c:v>57.09826127996439</c:v>
                </c:pt>
                <c:pt idx="19">
                  <c:v>58.582716337695345</c:v>
                </c:pt>
                <c:pt idx="20">
                  <c:v>60.107157016315071</c:v>
                </c:pt>
                <c:pt idx="21">
                  <c:v>61.671583315823554</c:v>
                </c:pt>
                <c:pt idx="22">
                  <c:v>63.275995236220808</c:v>
                </c:pt>
                <c:pt idx="23">
                  <c:v>64.920392777506819</c:v>
                </c:pt>
                <c:pt idx="24">
                  <c:v>66.604775939681616</c:v>
                </c:pt>
                <c:pt idx="25">
                  <c:v>68.329144722745156</c:v>
                </c:pt>
                <c:pt idx="26">
                  <c:v>70.093499126697466</c:v>
                </c:pt>
                <c:pt idx="27">
                  <c:v>71.897839151538562</c:v>
                </c:pt>
                <c:pt idx="28">
                  <c:v>73.742164797268387</c:v>
                </c:pt>
                <c:pt idx="29">
                  <c:v>75.626476063886997</c:v>
                </c:pt>
                <c:pt idx="30">
                  <c:v>77.550772951394379</c:v>
                </c:pt>
                <c:pt idx="31">
                  <c:v>79.515055459790517</c:v>
                </c:pt>
                <c:pt idx="32">
                  <c:v>81.519323589075412</c:v>
                </c:pt>
                <c:pt idx="33">
                  <c:v>83.563577339249093</c:v>
                </c:pt>
                <c:pt idx="34">
                  <c:v>85.647816710311517</c:v>
                </c:pt>
                <c:pt idx="35">
                  <c:v>87.772041702262726</c:v>
                </c:pt>
                <c:pt idx="36">
                  <c:v>89.936252315102678</c:v>
                </c:pt>
                <c:pt idx="37">
                  <c:v>92.140448548831415</c:v>
                </c:pt>
                <c:pt idx="38">
                  <c:v>94.384630403448909</c:v>
                </c:pt>
                <c:pt idx="39">
                  <c:v>96.668797878955161</c:v>
                </c:pt>
                <c:pt idx="40">
                  <c:v>98.992950975350197</c:v>
                </c:pt>
                <c:pt idx="41">
                  <c:v>101.35708969263396</c:v>
                </c:pt>
                <c:pt idx="42">
                  <c:v>103.76121403080651</c:v>
                </c:pt>
                <c:pt idx="43">
                  <c:v>106.20532398986782</c:v>
                </c:pt>
                <c:pt idx="44">
                  <c:v>108.68941956981789</c:v>
                </c:pt>
                <c:pt idx="45">
                  <c:v>111.21350077065672</c:v>
                </c:pt>
                <c:pt idx="46">
                  <c:v>113.77756759238432</c:v>
                </c:pt>
                <c:pt idx="47">
                  <c:v>116.38162003500068</c:v>
                </c:pt>
                <c:pt idx="48">
                  <c:v>119.02565809850583</c:v>
                </c:pt>
                <c:pt idx="49">
                  <c:v>121.70968178289971</c:v>
                </c:pt>
                <c:pt idx="50">
                  <c:v>124.43369108818237</c:v>
                </c:pt>
                <c:pt idx="51">
                  <c:v>127.19768601435381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785-4B6B-B734-09962E9CFE5D}"/>
            </c:ext>
          </c:extLst>
        </c:ser>
        <c:ser>
          <c:idx val="43"/>
          <c:order val="43"/>
          <c:spPr>
            <a:ln w="952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поверхность'!$B$47:$BA$47</c:f>
              <c:numCache>
                <c:formatCode>General</c:formatCode>
                <c:ptCount val="52"/>
                <c:pt idx="0">
                  <c:v>8.4000000000000021</c:v>
                </c:pt>
                <c:pt idx="1">
                  <c:v>39.563298349025445</c:v>
                </c:pt>
                <c:pt idx="2">
                  <c:v>40.386073142579718</c:v>
                </c:pt>
                <c:pt idx="3">
                  <c:v>41.248833557022749</c:v>
                </c:pt>
                <c:pt idx="4">
                  <c:v>42.151579592354558</c:v>
                </c:pt>
                <c:pt idx="5">
                  <c:v>43.094311248575124</c:v>
                </c:pt>
                <c:pt idx="6">
                  <c:v>44.077028525684455</c:v>
                </c:pt>
                <c:pt idx="7">
                  <c:v>45.099731423682549</c:v>
                </c:pt>
                <c:pt idx="8">
                  <c:v>46.162419942569414</c:v>
                </c:pt>
                <c:pt idx="9">
                  <c:v>47.265094082345037</c:v>
                </c:pt>
                <c:pt idx="10">
                  <c:v>48.407753843009431</c:v>
                </c:pt>
                <c:pt idx="11">
                  <c:v>49.590399224562582</c:v>
                </c:pt>
                <c:pt idx="12">
                  <c:v>50.813030227004511</c:v>
                </c:pt>
                <c:pt idx="13">
                  <c:v>52.07564685033519</c:v>
                </c:pt>
                <c:pt idx="14">
                  <c:v>53.378249094554647</c:v>
                </c:pt>
                <c:pt idx="15">
                  <c:v>54.720836959662869</c:v>
                </c:pt>
                <c:pt idx="16">
                  <c:v>56.103410445659847</c:v>
                </c:pt>
                <c:pt idx="17">
                  <c:v>57.525969552545597</c:v>
                </c:pt>
                <c:pt idx="18">
                  <c:v>58.988514280320118</c:v>
                </c:pt>
                <c:pt idx="19">
                  <c:v>60.491044628983389</c:v>
                </c:pt>
                <c:pt idx="20">
                  <c:v>62.033560598535431</c:v>
                </c:pt>
                <c:pt idx="21">
                  <c:v>63.616062188976244</c:v>
                </c:pt>
                <c:pt idx="22">
                  <c:v>65.2385494003058</c:v>
                </c:pt>
                <c:pt idx="23">
                  <c:v>66.901022232524156</c:v>
                </c:pt>
                <c:pt idx="24">
                  <c:v>68.603480685631254</c:v>
                </c:pt>
                <c:pt idx="25">
                  <c:v>70.345924759627124</c:v>
                </c:pt>
                <c:pt idx="26">
                  <c:v>72.128354454511751</c:v>
                </c:pt>
                <c:pt idx="27">
                  <c:v>73.950769770285163</c:v>
                </c:pt>
                <c:pt idx="28">
                  <c:v>75.813170706947318</c:v>
                </c:pt>
                <c:pt idx="29">
                  <c:v>77.715557264498244</c:v>
                </c:pt>
                <c:pt idx="30">
                  <c:v>79.657929442937942</c:v>
                </c:pt>
                <c:pt idx="31">
                  <c:v>81.640287242266396</c:v>
                </c:pt>
                <c:pt idx="32">
                  <c:v>83.662630662483622</c:v>
                </c:pt>
                <c:pt idx="33">
                  <c:v>85.724959703589619</c:v>
                </c:pt>
                <c:pt idx="34">
                  <c:v>87.827274365584373</c:v>
                </c:pt>
                <c:pt idx="35">
                  <c:v>89.969574648467884</c:v>
                </c:pt>
                <c:pt idx="36">
                  <c:v>92.151860552240166</c:v>
                </c:pt>
                <c:pt idx="37">
                  <c:v>94.374132076901219</c:v>
                </c:pt>
                <c:pt idx="38">
                  <c:v>96.636389222451029</c:v>
                </c:pt>
                <c:pt idx="39">
                  <c:v>98.938631988889597</c:v>
                </c:pt>
                <c:pt idx="40">
                  <c:v>101.28086037621696</c:v>
                </c:pt>
                <c:pt idx="41">
                  <c:v>103.66307438443306</c:v>
                </c:pt>
                <c:pt idx="42">
                  <c:v>106.08527401353791</c:v>
                </c:pt>
                <c:pt idx="43">
                  <c:v>108.54745926353154</c:v>
                </c:pt>
                <c:pt idx="44">
                  <c:v>111.04963013441392</c:v>
                </c:pt>
                <c:pt idx="45">
                  <c:v>113.5917866261851</c:v>
                </c:pt>
                <c:pt idx="46">
                  <c:v>116.17392873884502</c:v>
                </c:pt>
                <c:pt idx="47">
                  <c:v>118.7960564723937</c:v>
                </c:pt>
                <c:pt idx="48">
                  <c:v>121.45816982683115</c:v>
                </c:pt>
                <c:pt idx="49">
                  <c:v>124.16026880215736</c:v>
                </c:pt>
                <c:pt idx="50">
                  <c:v>126.90235339837236</c:v>
                </c:pt>
                <c:pt idx="51">
                  <c:v>129.68442361547608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785-4B6B-B734-09962E9CFE5D}"/>
            </c:ext>
          </c:extLst>
        </c:ser>
        <c:ser>
          <c:idx val="44"/>
          <c:order val="44"/>
          <c:spPr>
            <a:ln w="952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поверхность'!$B$48:$BA$48</c:f>
              <c:numCache>
                <c:formatCode>General</c:formatCode>
                <c:ptCount val="52"/>
                <c:pt idx="0">
                  <c:v>8.6000000000000014</c:v>
                </c:pt>
                <c:pt idx="1">
                  <c:v>41.181733034064834</c:v>
                </c:pt>
                <c:pt idx="2">
                  <c:v>42.022583118551424</c:v>
                </c:pt>
                <c:pt idx="3">
                  <c:v>42.903418823926778</c:v>
                </c:pt>
                <c:pt idx="4">
                  <c:v>43.824240150190903</c:v>
                </c:pt>
                <c:pt idx="5">
                  <c:v>44.785047097343785</c:v>
                </c:pt>
                <c:pt idx="6">
                  <c:v>45.785839665385438</c:v>
                </c:pt>
                <c:pt idx="7">
                  <c:v>46.826617854315856</c:v>
                </c:pt>
                <c:pt idx="8">
                  <c:v>47.907381664135045</c:v>
                </c:pt>
                <c:pt idx="9">
                  <c:v>49.02813109484299</c:v>
                </c:pt>
                <c:pt idx="10">
                  <c:v>50.1888661464397</c:v>
                </c:pt>
                <c:pt idx="11">
                  <c:v>51.389586818925174</c:v>
                </c:pt>
                <c:pt idx="12">
                  <c:v>52.63029311229942</c:v>
                </c:pt>
                <c:pt idx="13">
                  <c:v>53.910985026562422</c:v>
                </c:pt>
                <c:pt idx="14">
                  <c:v>55.231662561714195</c:v>
                </c:pt>
                <c:pt idx="15">
                  <c:v>56.592325717754733</c:v>
                </c:pt>
                <c:pt idx="16">
                  <c:v>57.992974494684042</c:v>
                </c:pt>
                <c:pt idx="17">
                  <c:v>59.433608892502107</c:v>
                </c:pt>
                <c:pt idx="18">
                  <c:v>60.914228911208937</c:v>
                </c:pt>
                <c:pt idx="19">
                  <c:v>62.434834550804538</c:v>
                </c:pt>
                <c:pt idx="20">
                  <c:v>63.995425811288897</c:v>
                </c:pt>
                <c:pt idx="21">
                  <c:v>65.596002692662026</c:v>
                </c:pt>
                <c:pt idx="22">
                  <c:v>67.236565194923912</c:v>
                </c:pt>
                <c:pt idx="23">
                  <c:v>68.91711331807457</c:v>
                </c:pt>
                <c:pt idx="24">
                  <c:v>70.637647062114013</c:v>
                </c:pt>
                <c:pt idx="25">
                  <c:v>72.398166427042199</c:v>
                </c:pt>
                <c:pt idx="26">
                  <c:v>74.198671412859142</c:v>
                </c:pt>
                <c:pt idx="27">
                  <c:v>76.039162019564856</c:v>
                </c:pt>
                <c:pt idx="28">
                  <c:v>77.919638247159355</c:v>
                </c:pt>
                <c:pt idx="29">
                  <c:v>79.840100095642583</c:v>
                </c:pt>
                <c:pt idx="30">
                  <c:v>81.800547565014611</c:v>
                </c:pt>
                <c:pt idx="31">
                  <c:v>83.800980655275382</c:v>
                </c:pt>
                <c:pt idx="32">
                  <c:v>85.841399366424923</c:v>
                </c:pt>
                <c:pt idx="33">
                  <c:v>87.921803698463236</c:v>
                </c:pt>
                <c:pt idx="34">
                  <c:v>90.042193651390306</c:v>
                </c:pt>
                <c:pt idx="35">
                  <c:v>92.202569225206148</c:v>
                </c:pt>
                <c:pt idx="36">
                  <c:v>94.40293041991076</c:v>
                </c:pt>
                <c:pt idx="37">
                  <c:v>96.643277235504129</c:v>
                </c:pt>
                <c:pt idx="38">
                  <c:v>98.923609671986256</c:v>
                </c:pt>
                <c:pt idx="39">
                  <c:v>101.24392772935717</c:v>
                </c:pt>
                <c:pt idx="40">
                  <c:v>103.60423140761682</c:v>
                </c:pt>
                <c:pt idx="41">
                  <c:v>106.00452070676523</c:v>
                </c:pt>
                <c:pt idx="42">
                  <c:v>108.44479562680243</c:v>
                </c:pt>
                <c:pt idx="43">
                  <c:v>110.92505616772837</c:v>
                </c:pt>
                <c:pt idx="44">
                  <c:v>113.4453023295431</c:v>
                </c:pt>
                <c:pt idx="45">
                  <c:v>116.00553411224655</c:v>
                </c:pt>
                <c:pt idx="46">
                  <c:v>118.6057515158388</c:v>
                </c:pt>
                <c:pt idx="47">
                  <c:v>121.24595454031981</c:v>
                </c:pt>
                <c:pt idx="48">
                  <c:v>123.92614318568958</c:v>
                </c:pt>
                <c:pt idx="49">
                  <c:v>126.64631745194811</c:v>
                </c:pt>
                <c:pt idx="50">
                  <c:v>129.4064773390954</c:v>
                </c:pt>
                <c:pt idx="51">
                  <c:v>132.20662284713148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785-4B6B-B734-09962E9CFE5D}"/>
            </c:ext>
          </c:extLst>
        </c:ser>
        <c:ser>
          <c:idx val="45"/>
          <c:order val="45"/>
          <c:spPr>
            <a:ln w="952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поверхность'!$B$49:$BA$49</c:f>
              <c:numCache>
                <c:formatCode>General</c:formatCode>
                <c:ptCount val="52"/>
                <c:pt idx="0">
                  <c:v>8.8000000000000007</c:v>
                </c:pt>
                <c:pt idx="1">
                  <c:v>42.835629349637315</c:v>
                </c:pt>
                <c:pt idx="2">
                  <c:v>43.694554725056229</c:v>
                </c:pt>
                <c:pt idx="3">
                  <c:v>44.593465721363906</c:v>
                </c:pt>
                <c:pt idx="4">
                  <c:v>45.532362338560347</c:v>
                </c:pt>
                <c:pt idx="5">
                  <c:v>46.511244576645559</c:v>
                </c:pt>
                <c:pt idx="6">
                  <c:v>47.530112435619522</c:v>
                </c:pt>
                <c:pt idx="7">
                  <c:v>48.588965915482262</c:v>
                </c:pt>
                <c:pt idx="8">
                  <c:v>49.687805016233767</c:v>
                </c:pt>
                <c:pt idx="9">
                  <c:v>50.826629737874036</c:v>
                </c:pt>
                <c:pt idx="10">
                  <c:v>52.005440080403069</c:v>
                </c:pt>
                <c:pt idx="11">
                  <c:v>53.224236043820859</c:v>
                </c:pt>
                <c:pt idx="12">
                  <c:v>54.483017628127421</c:v>
                </c:pt>
                <c:pt idx="13">
                  <c:v>55.781784833322753</c:v>
                </c:pt>
                <c:pt idx="14">
                  <c:v>57.12053765940685</c:v>
                </c:pt>
                <c:pt idx="15">
                  <c:v>58.499276106379703</c:v>
                </c:pt>
                <c:pt idx="16">
                  <c:v>59.918000174241328</c:v>
                </c:pt>
                <c:pt idx="17">
                  <c:v>61.37670986299171</c:v>
                </c:pt>
                <c:pt idx="18">
                  <c:v>62.875405172630863</c:v>
                </c:pt>
                <c:pt idx="19">
                  <c:v>64.41408610315878</c:v>
                </c:pt>
                <c:pt idx="20">
                  <c:v>65.992752654575469</c:v>
                </c:pt>
                <c:pt idx="21">
                  <c:v>67.611404826880914</c:v>
                </c:pt>
                <c:pt idx="22">
                  <c:v>69.270042620075131</c:v>
                </c:pt>
                <c:pt idx="23">
                  <c:v>70.968666034158105</c:v>
                </c:pt>
                <c:pt idx="24">
                  <c:v>72.707275069129849</c:v>
                </c:pt>
                <c:pt idx="25">
                  <c:v>74.485869724990351</c:v>
                </c:pt>
                <c:pt idx="26">
                  <c:v>76.304450001739639</c:v>
                </c:pt>
                <c:pt idx="27">
                  <c:v>78.163015899377669</c:v>
                </c:pt>
                <c:pt idx="28">
                  <c:v>80.06156741790447</c:v>
                </c:pt>
                <c:pt idx="29">
                  <c:v>82.000104557320043</c:v>
                </c:pt>
                <c:pt idx="30">
                  <c:v>83.978627317624372</c:v>
                </c:pt>
                <c:pt idx="31">
                  <c:v>85.997135698817473</c:v>
                </c:pt>
                <c:pt idx="32">
                  <c:v>88.055629700899345</c:v>
                </c:pt>
                <c:pt idx="33">
                  <c:v>90.15410932386996</c:v>
                </c:pt>
                <c:pt idx="34">
                  <c:v>92.292574567729361</c:v>
                </c:pt>
                <c:pt idx="35">
                  <c:v>94.471025432477518</c:v>
                </c:pt>
                <c:pt idx="36">
                  <c:v>96.689461918114432</c:v>
                </c:pt>
                <c:pt idx="37">
                  <c:v>98.947884024640146</c:v>
                </c:pt>
                <c:pt idx="38">
                  <c:v>101.24629175205457</c:v>
                </c:pt>
                <c:pt idx="39">
                  <c:v>103.5846851003578</c:v>
                </c:pt>
                <c:pt idx="40">
                  <c:v>105.9630640695498</c:v>
                </c:pt>
                <c:pt idx="41">
                  <c:v>108.38142865963053</c:v>
                </c:pt>
                <c:pt idx="42">
                  <c:v>110.83977887060003</c:v>
                </c:pt>
                <c:pt idx="43">
                  <c:v>113.33811470245828</c:v>
                </c:pt>
                <c:pt idx="44">
                  <c:v>115.87643615520531</c:v>
                </c:pt>
                <c:pt idx="45">
                  <c:v>118.45474322884112</c:v>
                </c:pt>
                <c:pt idx="46">
                  <c:v>121.07303592336569</c:v>
                </c:pt>
                <c:pt idx="47">
                  <c:v>123.73131423877899</c:v>
                </c:pt>
                <c:pt idx="48">
                  <c:v>126.4295781750811</c:v>
                </c:pt>
                <c:pt idx="49">
                  <c:v>129.16782773227197</c:v>
                </c:pt>
                <c:pt idx="50">
                  <c:v>131.9460629103516</c:v>
                </c:pt>
                <c:pt idx="51">
                  <c:v>134.76428370931995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785-4B6B-B734-09962E9CFE5D}"/>
            </c:ext>
          </c:extLst>
        </c:ser>
        <c:ser>
          <c:idx val="46"/>
          <c:order val="46"/>
          <c:spPr>
            <a:ln w="952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поверхность'!$B$50:$BA$50</c:f>
              <c:numCache>
                <c:formatCode>General</c:formatCode>
                <c:ptCount val="52"/>
                <c:pt idx="0">
                  <c:v>9</c:v>
                </c:pt>
                <c:pt idx="1">
                  <c:v>44.524987295742903</c:v>
                </c:pt>
                <c:pt idx="2">
                  <c:v>45.401987962094132</c:v>
                </c:pt>
                <c:pt idx="3">
                  <c:v>46.318974249334133</c:v>
                </c:pt>
                <c:pt idx="4">
                  <c:v>47.275946157462897</c:v>
                </c:pt>
                <c:pt idx="5">
                  <c:v>48.272903686480426</c:v>
                </c:pt>
                <c:pt idx="6">
                  <c:v>49.309846836386711</c:v>
                </c:pt>
                <c:pt idx="7">
                  <c:v>50.386775607181768</c:v>
                </c:pt>
                <c:pt idx="8">
                  <c:v>51.503689998865589</c:v>
                </c:pt>
                <c:pt idx="9">
                  <c:v>52.660590011438174</c:v>
                </c:pt>
                <c:pt idx="10">
                  <c:v>53.85747564489953</c:v>
                </c:pt>
                <c:pt idx="11">
                  <c:v>55.094346899249651</c:v>
                </c:pt>
                <c:pt idx="12">
                  <c:v>56.371203774488528</c:v>
                </c:pt>
                <c:pt idx="13">
                  <c:v>57.688046270616169</c:v>
                </c:pt>
                <c:pt idx="14">
                  <c:v>59.044874387632596</c:v>
                </c:pt>
                <c:pt idx="15">
                  <c:v>60.441688125537773</c:v>
                </c:pt>
                <c:pt idx="16">
                  <c:v>61.878487484331714</c:v>
                </c:pt>
                <c:pt idx="17">
                  <c:v>63.355272464014419</c:v>
                </c:pt>
                <c:pt idx="18">
                  <c:v>64.872043064585895</c:v>
                </c:pt>
                <c:pt idx="19">
                  <c:v>66.428799286046129</c:v>
                </c:pt>
                <c:pt idx="20">
                  <c:v>68.025541128395133</c:v>
                </c:pt>
                <c:pt idx="21">
                  <c:v>69.662268591632895</c:v>
                </c:pt>
                <c:pt idx="22">
                  <c:v>71.338981675759442</c:v>
                </c:pt>
                <c:pt idx="23">
                  <c:v>73.055680380774731</c:v>
                </c:pt>
                <c:pt idx="24">
                  <c:v>74.812364706678792</c:v>
                </c:pt>
                <c:pt idx="25">
                  <c:v>76.609034653471625</c:v>
                </c:pt>
                <c:pt idx="26">
                  <c:v>78.445690221153214</c:v>
                </c:pt>
                <c:pt idx="27">
                  <c:v>80.322331409723574</c:v>
                </c:pt>
                <c:pt idx="28">
                  <c:v>82.238958219182706</c:v>
                </c:pt>
                <c:pt idx="29">
                  <c:v>84.195570649530595</c:v>
                </c:pt>
                <c:pt idx="30">
                  <c:v>86.19216870076724</c:v>
                </c:pt>
                <c:pt idx="31">
                  <c:v>88.228752372892657</c:v>
                </c:pt>
                <c:pt idx="32">
                  <c:v>90.305321665906831</c:v>
                </c:pt>
                <c:pt idx="33">
                  <c:v>92.421876579809791</c:v>
                </c:pt>
                <c:pt idx="34">
                  <c:v>94.578417114601507</c:v>
                </c:pt>
                <c:pt idx="35">
                  <c:v>96.774943270281995</c:v>
                </c:pt>
                <c:pt idx="36">
                  <c:v>99.011455046851225</c:v>
                </c:pt>
                <c:pt idx="37">
                  <c:v>101.28795244430924</c:v>
                </c:pt>
                <c:pt idx="38">
                  <c:v>103.604435462656</c:v>
                </c:pt>
                <c:pt idx="39">
                  <c:v>105.96090410189154</c:v>
                </c:pt>
                <c:pt idx="40">
                  <c:v>108.35735836201586</c:v>
                </c:pt>
                <c:pt idx="41">
                  <c:v>110.79379824302892</c:v>
                </c:pt>
                <c:pt idx="42">
                  <c:v>113.27022374493075</c:v>
                </c:pt>
                <c:pt idx="43">
                  <c:v>115.78663486772132</c:v>
                </c:pt>
                <c:pt idx="44">
                  <c:v>118.34303161140066</c:v>
                </c:pt>
                <c:pt idx="45">
                  <c:v>120.93941397596879</c:v>
                </c:pt>
                <c:pt idx="46">
                  <c:v>123.57578196142568</c:v>
                </c:pt>
                <c:pt idx="47">
                  <c:v>126.25213556777132</c:v>
                </c:pt>
                <c:pt idx="48">
                  <c:v>128.96847479500573</c:v>
                </c:pt>
                <c:pt idx="49">
                  <c:v>131.7247996431289</c:v>
                </c:pt>
                <c:pt idx="50">
                  <c:v>134.52111011214086</c:v>
                </c:pt>
                <c:pt idx="51">
                  <c:v>137.35740620204155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785-4B6B-B734-09962E9CFE5D}"/>
            </c:ext>
          </c:extLst>
        </c:ser>
        <c:ser>
          <c:idx val="47"/>
          <c:order val="47"/>
          <c:spPr>
            <a:ln w="952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поверхность'!$B$51:$BA$51</c:f>
              <c:numCache>
                <c:formatCode>General</c:formatCode>
                <c:ptCount val="52"/>
                <c:pt idx="0">
                  <c:v>9.1999999999999993</c:v>
                </c:pt>
                <c:pt idx="1">
                  <c:v>46.24980687238159</c:v>
                </c:pt>
                <c:pt idx="2">
                  <c:v>47.144882829665143</c:v>
                </c:pt>
                <c:pt idx="3">
                  <c:v>48.079944407837459</c:v>
                </c:pt>
                <c:pt idx="4">
                  <c:v>49.05499160689854</c:v>
                </c:pt>
                <c:pt idx="5">
                  <c:v>50.070024426848384</c:v>
                </c:pt>
                <c:pt idx="6">
                  <c:v>51.125042867687</c:v>
                </c:pt>
                <c:pt idx="7">
                  <c:v>52.22004692941438</c:v>
                </c:pt>
                <c:pt idx="8">
                  <c:v>53.355036612030517</c:v>
                </c:pt>
                <c:pt idx="9">
                  <c:v>54.530011915535425</c:v>
                </c:pt>
                <c:pt idx="10">
                  <c:v>55.744972839929098</c:v>
                </c:pt>
                <c:pt idx="11">
                  <c:v>56.999919385211534</c:v>
                </c:pt>
                <c:pt idx="12">
                  <c:v>58.294851551382735</c:v>
                </c:pt>
                <c:pt idx="13">
                  <c:v>59.629769338442706</c:v>
                </c:pt>
                <c:pt idx="14">
                  <c:v>61.004672746391435</c:v>
                </c:pt>
                <c:pt idx="15">
                  <c:v>62.419561775228935</c:v>
                </c:pt>
                <c:pt idx="16">
                  <c:v>63.874436424955192</c:v>
                </c:pt>
                <c:pt idx="17">
                  <c:v>65.369296695570227</c:v>
                </c:pt>
                <c:pt idx="18">
                  <c:v>66.90414258707402</c:v>
                </c:pt>
                <c:pt idx="19">
                  <c:v>68.478974099466583</c:v>
                </c:pt>
                <c:pt idx="20">
                  <c:v>70.093791232747904</c:v>
                </c:pt>
                <c:pt idx="21">
                  <c:v>71.748593986917982</c:v>
                </c:pt>
                <c:pt idx="22">
                  <c:v>73.443382361976845</c:v>
                </c:pt>
                <c:pt idx="23">
                  <c:v>75.178156357924465</c:v>
                </c:pt>
                <c:pt idx="24">
                  <c:v>76.952915974760842</c:v>
                </c:pt>
                <c:pt idx="25">
                  <c:v>78.76766121248599</c:v>
                </c:pt>
                <c:pt idx="26">
                  <c:v>80.62239207109991</c:v>
                </c:pt>
                <c:pt idx="27">
                  <c:v>82.517108550602586</c:v>
                </c:pt>
                <c:pt idx="28">
                  <c:v>84.45181065099402</c:v>
                </c:pt>
                <c:pt idx="29">
                  <c:v>86.426498372274239</c:v>
                </c:pt>
                <c:pt idx="30">
                  <c:v>88.4411717144432</c:v>
                </c:pt>
                <c:pt idx="31">
                  <c:v>90.495830677500933</c:v>
                </c:pt>
                <c:pt idx="32">
                  <c:v>92.590475261447452</c:v>
                </c:pt>
                <c:pt idx="33">
                  <c:v>94.725105466282713</c:v>
                </c:pt>
                <c:pt idx="34">
                  <c:v>96.899721292006745</c:v>
                </c:pt>
                <c:pt idx="35">
                  <c:v>99.114322738619549</c:v>
                </c:pt>
                <c:pt idx="36">
                  <c:v>101.36890980612111</c:v>
                </c:pt>
                <c:pt idx="37">
                  <c:v>103.66348249451146</c:v>
                </c:pt>
                <c:pt idx="38">
                  <c:v>105.99804080379054</c:v>
                </c:pt>
                <c:pt idx="39">
                  <c:v>108.3725847339584</c:v>
                </c:pt>
                <c:pt idx="40">
                  <c:v>110.78711428501504</c:v>
                </c:pt>
                <c:pt idx="41">
                  <c:v>113.2416294569604</c:v>
                </c:pt>
                <c:pt idx="42">
                  <c:v>115.73613024979456</c:v>
                </c:pt>
                <c:pt idx="43">
                  <c:v>118.27061666351744</c:v>
                </c:pt>
                <c:pt idx="44">
                  <c:v>120.84508869812912</c:v>
                </c:pt>
                <c:pt idx="45">
                  <c:v>123.45954635362956</c:v>
                </c:pt>
                <c:pt idx="46">
                  <c:v>126.11398963001875</c:v>
                </c:pt>
                <c:pt idx="47">
                  <c:v>128.80841852729674</c:v>
                </c:pt>
                <c:pt idx="48">
                  <c:v>131.54283304546345</c:v>
                </c:pt>
                <c:pt idx="49">
                  <c:v>134.31723318451895</c:v>
                </c:pt>
                <c:pt idx="50">
                  <c:v>137.13161894446321</c:v>
                </c:pt>
                <c:pt idx="51">
                  <c:v>139.98599032529623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8785-4B6B-B734-09962E9CFE5D}"/>
            </c:ext>
          </c:extLst>
        </c:ser>
        <c:ser>
          <c:idx val="48"/>
          <c:order val="48"/>
          <c:spPr>
            <a:ln w="95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поверхность'!$B$52:$BA$52</c:f>
              <c:numCache>
                <c:formatCode>General</c:formatCode>
                <c:ptCount val="52"/>
                <c:pt idx="0">
                  <c:v>9.3999999999999986</c:v>
                </c:pt>
                <c:pt idx="1">
                  <c:v>48.01008807955337</c:v>
                </c:pt>
                <c:pt idx="2">
                  <c:v>48.923239327769245</c:v>
                </c:pt>
                <c:pt idx="3">
                  <c:v>49.876376196873885</c:v>
                </c:pt>
                <c:pt idx="4">
                  <c:v>50.869498686867281</c:v>
                </c:pt>
                <c:pt idx="5">
                  <c:v>51.902606797749449</c:v>
                </c:pt>
                <c:pt idx="6">
                  <c:v>52.975700529520381</c:v>
                </c:pt>
                <c:pt idx="7">
                  <c:v>54.088779882180084</c:v>
                </c:pt>
                <c:pt idx="8">
                  <c:v>55.241844855728544</c:v>
                </c:pt>
                <c:pt idx="9">
                  <c:v>56.434895450165769</c:v>
                </c:pt>
                <c:pt idx="10">
                  <c:v>57.667931665491764</c:v>
                </c:pt>
                <c:pt idx="11">
                  <c:v>58.940953501706517</c:v>
                </c:pt>
                <c:pt idx="12">
                  <c:v>60.25396095881004</c:v>
                </c:pt>
                <c:pt idx="13">
                  <c:v>61.606954036802321</c:v>
                </c:pt>
                <c:pt idx="14">
                  <c:v>62.99993273568338</c:v>
                </c:pt>
                <c:pt idx="15">
                  <c:v>64.432897055453196</c:v>
                </c:pt>
                <c:pt idx="16">
                  <c:v>65.905846996111777</c:v>
                </c:pt>
                <c:pt idx="17">
                  <c:v>67.418782557659128</c:v>
                </c:pt>
                <c:pt idx="18">
                  <c:v>68.971703740095236</c:v>
                </c:pt>
                <c:pt idx="19">
                  <c:v>70.564610543420116</c:v>
                </c:pt>
                <c:pt idx="20">
                  <c:v>72.197502967633767</c:v>
                </c:pt>
                <c:pt idx="21">
                  <c:v>73.870381012736161</c:v>
                </c:pt>
                <c:pt idx="22">
                  <c:v>75.58324467872734</c:v>
                </c:pt>
                <c:pt idx="23">
                  <c:v>77.336093965607276</c:v>
                </c:pt>
                <c:pt idx="24">
                  <c:v>79.128928873375983</c:v>
                </c:pt>
                <c:pt idx="25">
                  <c:v>80.961749402033462</c:v>
                </c:pt>
                <c:pt idx="26">
                  <c:v>82.834555551579683</c:v>
                </c:pt>
                <c:pt idx="27">
                  <c:v>84.74734732201469</c:v>
                </c:pt>
                <c:pt idx="28">
                  <c:v>86.700124713338454</c:v>
                </c:pt>
                <c:pt idx="29">
                  <c:v>88.692887725550975</c:v>
                </c:pt>
                <c:pt idx="30">
                  <c:v>90.725636358652267</c:v>
                </c:pt>
                <c:pt idx="31">
                  <c:v>92.798370612642344</c:v>
                </c:pt>
                <c:pt idx="32">
                  <c:v>94.911090487521165</c:v>
                </c:pt>
                <c:pt idx="33">
                  <c:v>97.063795983288742</c:v>
                </c:pt>
                <c:pt idx="34">
                  <c:v>99.256487099945105</c:v>
                </c:pt>
                <c:pt idx="35">
                  <c:v>101.48916383749021</c:v>
                </c:pt>
                <c:pt idx="36">
                  <c:v>103.7618261959241</c:v>
                </c:pt>
                <c:pt idx="37">
                  <c:v>106.07447417524675</c:v>
                </c:pt>
                <c:pt idx="38">
                  <c:v>108.42710777545817</c:v>
                </c:pt>
                <c:pt idx="39">
                  <c:v>110.81972699655834</c:v>
                </c:pt>
                <c:pt idx="40">
                  <c:v>113.25233183854729</c:v>
                </c:pt>
                <c:pt idx="41">
                  <c:v>115.72492230142498</c:v>
                </c:pt>
                <c:pt idx="42">
                  <c:v>118.23749838519144</c:v>
                </c:pt>
                <c:pt idx="43">
                  <c:v>120.79006008984668</c:v>
                </c:pt>
                <c:pt idx="44">
                  <c:v>123.38260741539067</c:v>
                </c:pt>
                <c:pt idx="45">
                  <c:v>126.01514036182341</c:v>
                </c:pt>
                <c:pt idx="46">
                  <c:v>128.68765892914496</c:v>
                </c:pt>
                <c:pt idx="47">
                  <c:v>131.40016311735522</c:v>
                </c:pt>
                <c:pt idx="48">
                  <c:v>134.15265292645427</c:v>
                </c:pt>
                <c:pt idx="49">
                  <c:v>136.9451283564421</c:v>
                </c:pt>
                <c:pt idx="50">
                  <c:v>139.77758940731869</c:v>
                </c:pt>
                <c:pt idx="51">
                  <c:v>142.650036079084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785-4B6B-B734-09962E9CFE5D}"/>
            </c:ext>
          </c:extLst>
        </c:ser>
        <c:ser>
          <c:idx val="49"/>
          <c:order val="49"/>
          <c:spPr>
            <a:ln w="95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поверхность'!$B$53:$BA$53</c:f>
              <c:numCache>
                <c:formatCode>General</c:formatCode>
                <c:ptCount val="52"/>
                <c:pt idx="0">
                  <c:v>9.5999999999999979</c:v>
                </c:pt>
                <c:pt idx="1">
                  <c:v>49.805830917258255</c:v>
                </c:pt>
                <c:pt idx="2">
                  <c:v>50.737057456406454</c:v>
                </c:pt>
                <c:pt idx="3">
                  <c:v>51.70826961644341</c:v>
                </c:pt>
                <c:pt idx="4">
                  <c:v>52.719467397369129</c:v>
                </c:pt>
                <c:pt idx="5">
                  <c:v>53.770650799183613</c:v>
                </c:pt>
                <c:pt idx="6">
                  <c:v>54.861819821886868</c:v>
                </c:pt>
                <c:pt idx="7">
                  <c:v>55.992974465478888</c:v>
                </c:pt>
                <c:pt idx="8">
                  <c:v>57.164114729959664</c:v>
                </c:pt>
                <c:pt idx="9">
                  <c:v>58.375240615329211</c:v>
                </c:pt>
                <c:pt idx="10">
                  <c:v>59.62635212158753</c:v>
                </c:pt>
                <c:pt idx="11">
                  <c:v>60.917449248734599</c:v>
                </c:pt>
                <c:pt idx="12">
                  <c:v>62.248531996770446</c:v>
                </c:pt>
                <c:pt idx="13">
                  <c:v>63.61960036569505</c:v>
                </c:pt>
                <c:pt idx="14">
                  <c:v>65.030654355508432</c:v>
                </c:pt>
                <c:pt idx="15">
                  <c:v>66.481693966210557</c:v>
                </c:pt>
                <c:pt idx="16">
                  <c:v>67.972719197801467</c:v>
                </c:pt>
                <c:pt idx="17">
                  <c:v>69.503730050281135</c:v>
                </c:pt>
                <c:pt idx="18">
                  <c:v>71.074726523649559</c:v>
                </c:pt>
                <c:pt idx="19">
                  <c:v>72.685708617906769</c:v>
                </c:pt>
                <c:pt idx="20">
                  <c:v>74.336676333052736</c:v>
                </c:pt>
                <c:pt idx="21">
                  <c:v>76.02762966908746</c:v>
                </c:pt>
                <c:pt idx="22">
                  <c:v>77.758568626010941</c:v>
                </c:pt>
                <c:pt idx="23">
                  <c:v>79.529493203823208</c:v>
                </c:pt>
                <c:pt idx="24">
                  <c:v>81.340403402524231</c:v>
                </c:pt>
                <c:pt idx="25">
                  <c:v>83.191299222114012</c:v>
                </c:pt>
                <c:pt idx="26">
                  <c:v>85.082180662592563</c:v>
                </c:pt>
                <c:pt idx="27">
                  <c:v>87.013047723959886</c:v>
                </c:pt>
                <c:pt idx="28">
                  <c:v>88.983900406215966</c:v>
                </c:pt>
                <c:pt idx="29">
                  <c:v>90.994738709360817</c:v>
                </c:pt>
                <c:pt idx="30">
                  <c:v>93.045562633394439</c:v>
                </c:pt>
                <c:pt idx="31">
                  <c:v>95.136372178316819</c:v>
                </c:pt>
                <c:pt idx="32">
                  <c:v>97.267167344127955</c:v>
                </c:pt>
                <c:pt idx="33">
                  <c:v>99.437948130827877</c:v>
                </c:pt>
                <c:pt idx="34">
                  <c:v>101.64871453841654</c:v>
                </c:pt>
                <c:pt idx="35">
                  <c:v>103.89946656689398</c:v>
                </c:pt>
                <c:pt idx="36">
                  <c:v>106.19020421626017</c:v>
                </c:pt>
                <c:pt idx="37">
                  <c:v>108.52092748651515</c:v>
                </c:pt>
                <c:pt idx="38">
                  <c:v>110.89163637765888</c:v>
                </c:pt>
                <c:pt idx="39">
                  <c:v>113.30233088969138</c:v>
                </c:pt>
                <c:pt idx="40">
                  <c:v>115.75301102261265</c:v>
                </c:pt>
                <c:pt idx="41">
                  <c:v>118.24367677642266</c:v>
                </c:pt>
                <c:pt idx="42">
                  <c:v>120.77432815112147</c:v>
                </c:pt>
                <c:pt idx="43">
                  <c:v>123.344965146709</c:v>
                </c:pt>
                <c:pt idx="44">
                  <c:v>125.95558776318532</c:v>
                </c:pt>
                <c:pt idx="45">
                  <c:v>128.60619600055037</c:v>
                </c:pt>
                <c:pt idx="46">
                  <c:v>131.29678985880423</c:v>
                </c:pt>
                <c:pt idx="47">
                  <c:v>134.02736933794685</c:v>
                </c:pt>
                <c:pt idx="48">
                  <c:v>136.7979344379782</c:v>
                </c:pt>
                <c:pt idx="49">
                  <c:v>139.60848515889833</c:v>
                </c:pt>
                <c:pt idx="50">
                  <c:v>142.45902150070725</c:v>
                </c:pt>
                <c:pt idx="51">
                  <c:v>145.3495434634049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785-4B6B-B734-09962E9CFE5D}"/>
            </c:ext>
          </c:extLst>
        </c:ser>
        <c:ser>
          <c:idx val="50"/>
          <c:order val="50"/>
          <c:spPr>
            <a:ln w="95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поверхность'!$B$54:$BA$54</c:f>
              <c:numCache>
                <c:formatCode>General</c:formatCode>
                <c:ptCount val="52"/>
                <c:pt idx="0">
                  <c:v>9.7999999999999972</c:v>
                </c:pt>
                <c:pt idx="1">
                  <c:v>51.637035385496247</c:v>
                </c:pt>
                <c:pt idx="2">
                  <c:v>52.586337215576755</c:v>
                </c:pt>
                <c:pt idx="3">
                  <c:v>53.575624666546041</c:v>
                </c:pt>
                <c:pt idx="4">
                  <c:v>54.604897738404077</c:v>
                </c:pt>
                <c:pt idx="5">
                  <c:v>55.674156431150891</c:v>
                </c:pt>
                <c:pt idx="6">
                  <c:v>56.783400744786455</c:v>
                </c:pt>
                <c:pt idx="7">
                  <c:v>57.93263067931079</c:v>
                </c:pt>
                <c:pt idx="8">
                  <c:v>59.121846234723897</c:v>
                </c:pt>
                <c:pt idx="9">
                  <c:v>60.35104741102576</c:v>
                </c:pt>
                <c:pt idx="10">
                  <c:v>61.620234208216388</c:v>
                </c:pt>
                <c:pt idx="11">
                  <c:v>62.929406626295794</c:v>
                </c:pt>
                <c:pt idx="12">
                  <c:v>64.278564665263957</c:v>
                </c:pt>
                <c:pt idx="13">
                  <c:v>65.66770832512087</c:v>
                </c:pt>
                <c:pt idx="14">
                  <c:v>67.096837605866583</c:v>
                </c:pt>
                <c:pt idx="15">
                  <c:v>68.565952507501038</c:v>
                </c:pt>
                <c:pt idx="16">
                  <c:v>70.075053030024264</c:v>
                </c:pt>
                <c:pt idx="17">
                  <c:v>71.624139173436248</c:v>
                </c:pt>
                <c:pt idx="18">
                  <c:v>73.213210937737003</c:v>
                </c:pt>
                <c:pt idx="19">
                  <c:v>74.842268322926515</c:v>
                </c:pt>
                <c:pt idx="20">
                  <c:v>76.511311329004798</c:v>
                </c:pt>
                <c:pt idx="21">
                  <c:v>78.220339955971838</c:v>
                </c:pt>
                <c:pt idx="22">
                  <c:v>79.969354203827663</c:v>
                </c:pt>
                <c:pt idx="23">
                  <c:v>81.758354072572232</c:v>
                </c:pt>
                <c:pt idx="24">
                  <c:v>83.587339562205585</c:v>
                </c:pt>
                <c:pt idx="25">
                  <c:v>85.456310672727682</c:v>
                </c:pt>
                <c:pt idx="26">
                  <c:v>87.365267404138564</c:v>
                </c:pt>
                <c:pt idx="27">
                  <c:v>89.314209756438203</c:v>
                </c:pt>
                <c:pt idx="28">
                  <c:v>91.303137729626599</c:v>
                </c:pt>
                <c:pt idx="29">
                  <c:v>93.33205132370378</c:v>
                </c:pt>
                <c:pt idx="30">
                  <c:v>95.400950538669704</c:v>
                </c:pt>
                <c:pt idx="31">
                  <c:v>97.5098353745244</c:v>
                </c:pt>
                <c:pt idx="32">
                  <c:v>99.658705831267866</c:v>
                </c:pt>
                <c:pt idx="33">
                  <c:v>101.8475619089001</c:v>
                </c:pt>
                <c:pt idx="34">
                  <c:v>104.0764036074211</c:v>
                </c:pt>
                <c:pt idx="35">
                  <c:v>106.34523092683085</c:v>
                </c:pt>
                <c:pt idx="36">
                  <c:v>108.65404386712939</c:v>
                </c:pt>
                <c:pt idx="37">
                  <c:v>111.00284242831665</c:v>
                </c:pt>
                <c:pt idx="38">
                  <c:v>113.39162661039273</c:v>
                </c:pt>
                <c:pt idx="39">
                  <c:v>115.82039641335754</c:v>
                </c:pt>
                <c:pt idx="40">
                  <c:v>118.28915183721112</c:v>
                </c:pt>
                <c:pt idx="41">
                  <c:v>120.79789288195346</c:v>
                </c:pt>
                <c:pt idx="42">
                  <c:v>123.34661954758457</c:v>
                </c:pt>
                <c:pt idx="43">
                  <c:v>125.93533183410443</c:v>
                </c:pt>
                <c:pt idx="44">
                  <c:v>128.56402974151305</c:v>
                </c:pt>
                <c:pt idx="45">
                  <c:v>131.23271326981046</c:v>
                </c:pt>
                <c:pt idx="46">
                  <c:v>133.94138241899662</c:v>
                </c:pt>
                <c:pt idx="47">
                  <c:v>136.69003718907155</c:v>
                </c:pt>
                <c:pt idx="48">
                  <c:v>139.47867758003522</c:v>
                </c:pt>
                <c:pt idx="49">
                  <c:v>142.30730359188766</c:v>
                </c:pt>
                <c:pt idx="50">
                  <c:v>145.17591522462891</c:v>
                </c:pt>
                <c:pt idx="51">
                  <c:v>148.08451247825889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785-4B6B-B734-09962E9CFE5D}"/>
            </c:ext>
          </c:extLst>
        </c:ser>
        <c:ser>
          <c:idx val="51"/>
          <c:order val="51"/>
          <c:spPr>
            <a:ln w="95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поверхность'!$B$55:$BA$55</c:f>
              <c:numCache>
                <c:formatCode>General</c:formatCode>
                <c:ptCount val="52"/>
                <c:pt idx="0">
                  <c:v>9.9999999999999964</c:v>
                </c:pt>
                <c:pt idx="1">
                  <c:v>53.503701484267339</c:v>
                </c:pt>
                <c:pt idx="2">
                  <c:v>54.471078605280169</c:v>
                </c:pt>
                <c:pt idx="3">
                  <c:v>55.478441347181764</c:v>
                </c:pt>
                <c:pt idx="4">
                  <c:v>56.52578970997213</c:v>
                </c:pt>
                <c:pt idx="5">
                  <c:v>57.613123693651261</c:v>
                </c:pt>
                <c:pt idx="6">
                  <c:v>58.740443298219148</c:v>
                </c:pt>
                <c:pt idx="7">
                  <c:v>59.907748523675806</c:v>
                </c:pt>
                <c:pt idx="8">
                  <c:v>61.115039370021229</c:v>
                </c:pt>
                <c:pt idx="9">
                  <c:v>62.362315837255409</c:v>
                </c:pt>
                <c:pt idx="10">
                  <c:v>63.649577925378367</c:v>
                </c:pt>
                <c:pt idx="11">
                  <c:v>64.976825634390082</c:v>
                </c:pt>
                <c:pt idx="12">
                  <c:v>66.344058964290568</c:v>
                </c:pt>
                <c:pt idx="13">
                  <c:v>67.751277915079811</c:v>
                </c:pt>
                <c:pt idx="14">
                  <c:v>69.198482486757825</c:v>
                </c:pt>
                <c:pt idx="15">
                  <c:v>70.685672679324597</c:v>
                </c:pt>
                <c:pt idx="16">
                  <c:v>72.21284849278014</c:v>
                </c:pt>
                <c:pt idx="17">
                  <c:v>73.780009927124453</c:v>
                </c:pt>
                <c:pt idx="18">
                  <c:v>75.387156982357524</c:v>
                </c:pt>
                <c:pt idx="19">
                  <c:v>77.034289658479366</c:v>
                </c:pt>
                <c:pt idx="20">
                  <c:v>78.721407955489966</c:v>
                </c:pt>
                <c:pt idx="21">
                  <c:v>80.448511873389336</c:v>
                </c:pt>
                <c:pt idx="22">
                  <c:v>82.215601412177463</c:v>
                </c:pt>
                <c:pt idx="23">
                  <c:v>84.022676571854362</c:v>
                </c:pt>
                <c:pt idx="24">
                  <c:v>85.869737352420032</c:v>
                </c:pt>
                <c:pt idx="25">
                  <c:v>87.756783753874458</c:v>
                </c:pt>
                <c:pt idx="26">
                  <c:v>89.683815776217642</c:v>
                </c:pt>
                <c:pt idx="27">
                  <c:v>91.650833419449611</c:v>
                </c:pt>
                <c:pt idx="28">
                  <c:v>93.657836683570338</c:v>
                </c:pt>
                <c:pt idx="29">
                  <c:v>95.704825568579821</c:v>
                </c:pt>
                <c:pt idx="30">
                  <c:v>97.791800074478076</c:v>
                </c:pt>
                <c:pt idx="31">
                  <c:v>99.918760201265087</c:v>
                </c:pt>
                <c:pt idx="32">
                  <c:v>102.08570594894087</c:v>
                </c:pt>
                <c:pt idx="33">
                  <c:v>104.29263731750542</c:v>
                </c:pt>
                <c:pt idx="34">
                  <c:v>106.53955430695873</c:v>
                </c:pt>
                <c:pt idx="35">
                  <c:v>108.82645691730082</c:v>
                </c:pt>
                <c:pt idx="36">
                  <c:v>111.15334514853166</c:v>
                </c:pt>
                <c:pt idx="37">
                  <c:v>113.52021900065128</c:v>
                </c:pt>
                <c:pt idx="38">
                  <c:v>115.92707847365963</c:v>
                </c:pt>
                <c:pt idx="39">
                  <c:v>118.37392356755677</c:v>
                </c:pt>
                <c:pt idx="40">
                  <c:v>120.8607542823427</c:v>
                </c:pt>
                <c:pt idx="41">
                  <c:v>123.38757061801735</c:v>
                </c:pt>
                <c:pt idx="42">
                  <c:v>125.95437257458077</c:v>
                </c:pt>
                <c:pt idx="43">
                  <c:v>128.56116015203295</c:v>
                </c:pt>
                <c:pt idx="44">
                  <c:v>131.20793335037391</c:v>
                </c:pt>
                <c:pt idx="45">
                  <c:v>133.89469216960364</c:v>
                </c:pt>
                <c:pt idx="46">
                  <c:v>136.62143660972211</c:v>
                </c:pt>
                <c:pt idx="47">
                  <c:v>139.38816667072933</c:v>
                </c:pt>
                <c:pt idx="48">
                  <c:v>142.19488235262537</c:v>
                </c:pt>
                <c:pt idx="49">
                  <c:v>145.04158365541014</c:v>
                </c:pt>
                <c:pt idx="50">
                  <c:v>147.92827057908369</c:v>
                </c:pt>
                <c:pt idx="51">
                  <c:v>150.85494312364597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785-4B6B-B734-09962E9CFE5D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487660911"/>
        <c:axId val="876280719"/>
        <c:axId val="653810671"/>
      </c:surface3DChart>
      <c:catAx>
        <c:axId val="4876609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280719"/>
        <c:crosses val="autoZero"/>
        <c:auto val="1"/>
        <c:lblAlgn val="ctr"/>
        <c:lblOffset val="100"/>
        <c:noMultiLvlLbl val="0"/>
      </c:catAx>
      <c:valAx>
        <c:axId val="8762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660911"/>
        <c:crosses val="autoZero"/>
        <c:crossBetween val="midCat"/>
      </c:valAx>
      <c:serAx>
        <c:axId val="6538106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280719"/>
        <c:crosses val="autoZero"/>
      </c:ser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1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val>
            <c:numRef>
              <c:f>'Нелинейная поверхность'!$B$4:$BA$4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0.2</c:v>
                </c:pt>
                <c:pt idx="3">
                  <c:v>0.4</c:v>
                </c:pt>
                <c:pt idx="4">
                  <c:v>0.60000000000000009</c:v>
                </c:pt>
                <c:pt idx="5">
                  <c:v>0.8</c:v>
                </c:pt>
                <c:pt idx="6">
                  <c:v>1</c:v>
                </c:pt>
                <c:pt idx="7">
                  <c:v>1.2</c:v>
                </c:pt>
                <c:pt idx="8">
                  <c:v>1.4</c:v>
                </c:pt>
                <c:pt idx="9">
                  <c:v>1.5999999999999999</c:v>
                </c:pt>
                <c:pt idx="10">
                  <c:v>1.7999999999999998</c:v>
                </c:pt>
                <c:pt idx="11">
                  <c:v>1.9999999999999998</c:v>
                </c:pt>
                <c:pt idx="12">
                  <c:v>2.1999999999999997</c:v>
                </c:pt>
                <c:pt idx="13">
                  <c:v>2.4</c:v>
                </c:pt>
                <c:pt idx="14">
                  <c:v>2.6</c:v>
                </c:pt>
                <c:pt idx="15">
                  <c:v>2.8000000000000003</c:v>
                </c:pt>
                <c:pt idx="16">
                  <c:v>3.0000000000000004</c:v>
                </c:pt>
                <c:pt idx="17">
                  <c:v>3.2000000000000006</c:v>
                </c:pt>
                <c:pt idx="18">
                  <c:v>3.4000000000000008</c:v>
                </c:pt>
                <c:pt idx="19">
                  <c:v>3.600000000000001</c:v>
                </c:pt>
                <c:pt idx="20">
                  <c:v>3.8000000000000012</c:v>
                </c:pt>
                <c:pt idx="21">
                  <c:v>4.0000000000000009</c:v>
                </c:pt>
                <c:pt idx="22">
                  <c:v>4.2000000000000011</c:v>
                </c:pt>
                <c:pt idx="23">
                  <c:v>4.4000000000000012</c:v>
                </c:pt>
                <c:pt idx="24">
                  <c:v>4.6000000000000014</c:v>
                </c:pt>
                <c:pt idx="25">
                  <c:v>4.8000000000000016</c:v>
                </c:pt>
                <c:pt idx="26">
                  <c:v>5.0000000000000018</c:v>
                </c:pt>
                <c:pt idx="27">
                  <c:v>5.200000000000002</c:v>
                </c:pt>
                <c:pt idx="28">
                  <c:v>5.4000000000000021</c:v>
                </c:pt>
                <c:pt idx="29">
                  <c:v>5.6000000000000023</c:v>
                </c:pt>
                <c:pt idx="30">
                  <c:v>5.8000000000000025</c:v>
                </c:pt>
                <c:pt idx="31">
                  <c:v>6.0000000000000027</c:v>
                </c:pt>
                <c:pt idx="32">
                  <c:v>6.2000000000000028</c:v>
                </c:pt>
                <c:pt idx="33">
                  <c:v>6.400000000000003</c:v>
                </c:pt>
                <c:pt idx="34">
                  <c:v>6.6000000000000032</c:v>
                </c:pt>
                <c:pt idx="35">
                  <c:v>6.8000000000000034</c:v>
                </c:pt>
                <c:pt idx="36">
                  <c:v>7.0000000000000036</c:v>
                </c:pt>
                <c:pt idx="37">
                  <c:v>7.2000000000000037</c:v>
                </c:pt>
                <c:pt idx="38">
                  <c:v>7.4000000000000039</c:v>
                </c:pt>
                <c:pt idx="39">
                  <c:v>7.6000000000000041</c:v>
                </c:pt>
                <c:pt idx="40">
                  <c:v>7.8000000000000043</c:v>
                </c:pt>
                <c:pt idx="41">
                  <c:v>8.0000000000000036</c:v>
                </c:pt>
                <c:pt idx="42">
                  <c:v>8.2000000000000028</c:v>
                </c:pt>
                <c:pt idx="43">
                  <c:v>8.4000000000000021</c:v>
                </c:pt>
                <c:pt idx="44">
                  <c:v>8.6000000000000014</c:v>
                </c:pt>
                <c:pt idx="45">
                  <c:v>8.8000000000000007</c:v>
                </c:pt>
                <c:pt idx="46">
                  <c:v>9</c:v>
                </c:pt>
                <c:pt idx="47">
                  <c:v>9.1999999999999993</c:v>
                </c:pt>
                <c:pt idx="48">
                  <c:v>9.3999999999999986</c:v>
                </c:pt>
                <c:pt idx="49">
                  <c:v>9.5999999999999979</c:v>
                </c:pt>
                <c:pt idx="50">
                  <c:v>9.7999999999999972</c:v>
                </c:pt>
                <c:pt idx="51">
                  <c:v>9.9999999999999964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E-4561-B792-401913D11507}"/>
            </c:ext>
          </c:extLst>
        </c:ser>
        <c:ser>
          <c:idx val="1"/>
          <c:order val="1"/>
          <c:spPr>
            <a:ln w="9525" cap="rnd">
              <a:solidFill>
                <a:schemeClr val="accent2"/>
              </a:solidFill>
              <a:round/>
            </a:ln>
            <a:effectLst/>
          </c:spPr>
          <c:val>
            <c:numRef>
              <c:f>'Нелинейная поверхность'!$B$5:$BA$5</c:f>
              <c:numCache>
                <c:formatCode>General</c:formatCode>
                <c:ptCount val="52"/>
                <c:pt idx="0">
                  <c:v>0</c:v>
                </c:pt>
                <c:pt idx="1">
                  <c:v>3.6108939487603493</c:v>
                </c:pt>
                <c:pt idx="2">
                  <c:v>3.674506523157179</c:v>
                </c:pt>
                <c:pt idx="3">
                  <c:v>3.7781047184427736</c:v>
                </c:pt>
                <c:pt idx="4">
                  <c:v>3.9216885346171333</c:v>
                </c:pt>
                <c:pt idx="5">
                  <c:v>4.105257971680258</c:v>
                </c:pt>
                <c:pt idx="6">
                  <c:v>4.3288130296321468</c:v>
                </c:pt>
                <c:pt idx="7">
                  <c:v>4.5923537084728014</c:v>
                </c:pt>
                <c:pt idx="8">
                  <c:v>4.8958800082022202</c:v>
                </c:pt>
                <c:pt idx="9">
                  <c:v>5.2393919288204049</c:v>
                </c:pt>
                <c:pt idx="10">
                  <c:v>5.6228894703273546</c:v>
                </c:pt>
                <c:pt idx="11">
                  <c:v>6.0463726327230685</c:v>
                </c:pt>
                <c:pt idx="12">
                  <c:v>6.5098414160075482</c:v>
                </c:pt>
                <c:pt idx="13">
                  <c:v>7.013295820180792</c:v>
                </c:pt>
                <c:pt idx="14">
                  <c:v>7.5567358452428017</c:v>
                </c:pt>
                <c:pt idx="15">
                  <c:v>8.1401614911935773</c:v>
                </c:pt>
                <c:pt idx="16">
                  <c:v>8.7635727580331171</c:v>
                </c:pt>
                <c:pt idx="17">
                  <c:v>9.4269696457614209</c:v>
                </c:pt>
                <c:pt idx="18">
                  <c:v>10.130352154378492</c:v>
                </c:pt>
                <c:pt idx="19">
                  <c:v>10.873720283884325</c:v>
                </c:pt>
                <c:pt idx="20">
                  <c:v>11.657074034278926</c:v>
                </c:pt>
                <c:pt idx="21">
                  <c:v>12.480413405562288</c:v>
                </c:pt>
                <c:pt idx="22">
                  <c:v>13.343738397734418</c:v>
                </c:pt>
                <c:pt idx="23">
                  <c:v>14.247049010795314</c:v>
                </c:pt>
                <c:pt idx="24">
                  <c:v>15.190345244744975</c:v>
                </c:pt>
                <c:pt idx="25">
                  <c:v>16.173627099583399</c:v>
                </c:pt>
                <c:pt idx="26">
                  <c:v>17.196894575310587</c:v>
                </c:pt>
                <c:pt idx="27">
                  <c:v>18.260147671926546</c:v>
                </c:pt>
                <c:pt idx="28">
                  <c:v>19.363386389431263</c:v>
                </c:pt>
                <c:pt idx="29">
                  <c:v>20.50661072782475</c:v>
                </c:pt>
                <c:pt idx="30">
                  <c:v>21.689820687107002</c:v>
                </c:pt>
                <c:pt idx="31">
                  <c:v>22.913016267278014</c:v>
                </c:pt>
                <c:pt idx="32">
                  <c:v>24.176197468337794</c:v>
                </c:pt>
                <c:pt idx="33">
                  <c:v>25.479364290286341</c:v>
                </c:pt>
                <c:pt idx="34">
                  <c:v>26.822516733123653</c:v>
                </c:pt>
                <c:pt idx="35">
                  <c:v>28.205654796849728</c:v>
                </c:pt>
                <c:pt idx="36">
                  <c:v>29.628778481464568</c:v>
                </c:pt>
                <c:pt idx="37">
                  <c:v>31.091887786968172</c:v>
                </c:pt>
                <c:pt idx="38">
                  <c:v>32.594982713360544</c:v>
                </c:pt>
                <c:pt idx="39">
                  <c:v>34.13806326064168</c:v>
                </c:pt>
                <c:pt idx="40">
                  <c:v>35.721129428811579</c:v>
                </c:pt>
                <c:pt idx="41">
                  <c:v>37.344181217870236</c:v>
                </c:pt>
                <c:pt idx="42">
                  <c:v>39.007218627817664</c:v>
                </c:pt>
                <c:pt idx="43">
                  <c:v>40.71024165865385</c:v>
                </c:pt>
                <c:pt idx="44">
                  <c:v>42.453250310378799</c:v>
                </c:pt>
                <c:pt idx="45">
                  <c:v>44.236244582992519</c:v>
                </c:pt>
                <c:pt idx="46">
                  <c:v>46.059224476495004</c:v>
                </c:pt>
                <c:pt idx="47">
                  <c:v>47.922189990886245</c:v>
                </c:pt>
                <c:pt idx="48">
                  <c:v>49.825141126166258</c:v>
                </c:pt>
                <c:pt idx="49">
                  <c:v>51.768077882335035</c:v>
                </c:pt>
                <c:pt idx="50">
                  <c:v>53.751000259392576</c:v>
                </c:pt>
                <c:pt idx="51">
                  <c:v>55.773908257338881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E-4561-B792-401913D11507}"/>
            </c:ext>
          </c:extLst>
        </c:ser>
        <c:ser>
          <c:idx val="2"/>
          <c:order val="2"/>
          <c:spPr>
            <a:ln w="9525" cap="rnd">
              <a:solidFill>
                <a:schemeClr val="accent3"/>
              </a:solidFill>
              <a:round/>
            </a:ln>
            <a:effectLst/>
          </c:spPr>
          <c:val>
            <c:numRef>
              <c:f>'Нелинейная поверхность'!$B$6:$BA$6</c:f>
              <c:numCache>
                <c:formatCode>General</c:formatCode>
                <c:ptCount val="52"/>
                <c:pt idx="0">
                  <c:v>0.2</c:v>
                </c:pt>
                <c:pt idx="1">
                  <c:v>3.7399401514095372</c:v>
                </c:pt>
                <c:pt idx="2">
                  <c:v>3.8216280167386869</c:v>
                </c:pt>
                <c:pt idx="3">
                  <c:v>3.9433015029566016</c:v>
                </c:pt>
                <c:pt idx="4">
                  <c:v>4.1049606100632801</c:v>
                </c:pt>
                <c:pt idx="5">
                  <c:v>4.3066053380587253</c:v>
                </c:pt>
                <c:pt idx="6">
                  <c:v>4.5482356869429346</c:v>
                </c:pt>
                <c:pt idx="7">
                  <c:v>4.8298516567159089</c:v>
                </c:pt>
                <c:pt idx="8">
                  <c:v>5.1514532473776473</c:v>
                </c:pt>
                <c:pt idx="9">
                  <c:v>5.5130404589281525</c:v>
                </c:pt>
                <c:pt idx="10">
                  <c:v>5.9146132913674219</c:v>
                </c:pt>
                <c:pt idx="11">
                  <c:v>6.3561717446954562</c:v>
                </c:pt>
                <c:pt idx="12">
                  <c:v>6.8377158189122555</c:v>
                </c:pt>
                <c:pt idx="13">
                  <c:v>7.3592455140178199</c:v>
                </c:pt>
                <c:pt idx="14">
                  <c:v>7.9207608300121493</c:v>
                </c:pt>
                <c:pt idx="15">
                  <c:v>8.5222617668952427</c:v>
                </c:pt>
                <c:pt idx="16">
                  <c:v>9.1637483246671056</c:v>
                </c:pt>
                <c:pt idx="17">
                  <c:v>9.8452205033277291</c:v>
                </c:pt>
                <c:pt idx="18">
                  <c:v>10.566678302877119</c:v>
                </c:pt>
                <c:pt idx="19">
                  <c:v>11.328121723315274</c:v>
                </c:pt>
                <c:pt idx="20">
                  <c:v>12.129550764642195</c:v>
                </c:pt>
                <c:pt idx="21">
                  <c:v>12.970965426857878</c:v>
                </c:pt>
                <c:pt idx="22">
                  <c:v>13.852365709962326</c:v>
                </c:pt>
                <c:pt idx="23">
                  <c:v>14.773751613955541</c:v>
                </c:pt>
                <c:pt idx="24">
                  <c:v>15.735123138837524</c:v>
                </c:pt>
                <c:pt idx="25">
                  <c:v>16.73648028460827</c:v>
                </c:pt>
                <c:pt idx="26">
                  <c:v>17.777823051267777</c:v>
                </c:pt>
                <c:pt idx="27">
                  <c:v>18.859151438816053</c:v>
                </c:pt>
                <c:pt idx="28">
                  <c:v>19.980465447253092</c:v>
                </c:pt>
                <c:pt idx="29">
                  <c:v>21.141765076578896</c:v>
                </c:pt>
                <c:pt idx="30">
                  <c:v>22.34305032679347</c:v>
                </c:pt>
                <c:pt idx="31">
                  <c:v>23.584321197896802</c:v>
                </c:pt>
                <c:pt idx="32">
                  <c:v>24.865577689888905</c:v>
                </c:pt>
                <c:pt idx="33">
                  <c:v>26.186819802769769</c:v>
                </c:pt>
                <c:pt idx="34">
                  <c:v>27.5480475365394</c:v>
                </c:pt>
                <c:pt idx="35">
                  <c:v>28.949260891197795</c:v>
                </c:pt>
                <c:pt idx="36">
                  <c:v>30.390459866744955</c:v>
                </c:pt>
                <c:pt idx="37">
                  <c:v>31.871644463180882</c:v>
                </c:pt>
                <c:pt idx="38">
                  <c:v>33.39281468050558</c:v>
                </c:pt>
                <c:pt idx="39">
                  <c:v>34.953970518719032</c:v>
                </c:pt>
                <c:pt idx="40">
                  <c:v>36.555111977821255</c:v>
                </c:pt>
                <c:pt idx="41">
                  <c:v>38.196239057812228</c:v>
                </c:pt>
                <c:pt idx="42">
                  <c:v>39.877351758691979</c:v>
                </c:pt>
                <c:pt idx="43">
                  <c:v>41.598450080460481</c:v>
                </c:pt>
                <c:pt idx="44">
                  <c:v>43.359534023117753</c:v>
                </c:pt>
                <c:pt idx="45">
                  <c:v>45.160603586663797</c:v>
                </c:pt>
                <c:pt idx="46">
                  <c:v>47.00165877109859</c:v>
                </c:pt>
                <c:pt idx="47">
                  <c:v>48.882699576422162</c:v>
                </c:pt>
                <c:pt idx="48">
                  <c:v>50.803726002634491</c:v>
                </c:pt>
                <c:pt idx="49">
                  <c:v>52.764738049735584</c:v>
                </c:pt>
                <c:pt idx="50">
                  <c:v>54.765735717725448</c:v>
                </c:pt>
                <c:pt idx="51">
                  <c:v>56.806719006604077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E-4561-B792-401913D11507}"/>
            </c:ext>
          </c:extLst>
        </c:ser>
        <c:ser>
          <c:idx val="3"/>
          <c:order val="3"/>
          <c:spPr>
            <a:ln w="9525" cap="rnd">
              <a:solidFill>
                <a:schemeClr val="accent4"/>
              </a:solidFill>
              <a:round/>
            </a:ln>
            <a:effectLst/>
          </c:spPr>
          <c:val>
            <c:numRef>
              <c:f>'Нелинейная поверхность'!$B$7:$BA$7</c:f>
              <c:numCache>
                <c:formatCode>General</c:formatCode>
                <c:ptCount val="52"/>
                <c:pt idx="0">
                  <c:v>0.4</c:v>
                </c:pt>
                <c:pt idx="1">
                  <c:v>3.9044479845918252</c:v>
                </c:pt>
                <c:pt idx="2">
                  <c:v>4.004211140853295</c:v>
                </c:pt>
                <c:pt idx="3">
                  <c:v>4.1439599180035298</c:v>
                </c:pt>
                <c:pt idx="4">
                  <c:v>4.3236943160425296</c:v>
                </c:pt>
                <c:pt idx="5">
                  <c:v>4.5434143349702945</c:v>
                </c:pt>
                <c:pt idx="6">
                  <c:v>4.8031199747868234</c:v>
                </c:pt>
                <c:pt idx="7">
                  <c:v>5.1028112354921173</c:v>
                </c:pt>
                <c:pt idx="8">
                  <c:v>5.4424881170861772</c:v>
                </c:pt>
                <c:pt idx="9">
                  <c:v>5.8221506195690012</c:v>
                </c:pt>
                <c:pt idx="10">
                  <c:v>6.241798742940591</c:v>
                </c:pt>
                <c:pt idx="11">
                  <c:v>6.701432487200945</c:v>
                </c:pt>
                <c:pt idx="12">
                  <c:v>7.201051852350064</c:v>
                </c:pt>
                <c:pt idx="13">
                  <c:v>7.7406568383879488</c:v>
                </c:pt>
                <c:pt idx="14">
                  <c:v>8.3202474453145996</c:v>
                </c:pt>
                <c:pt idx="15">
                  <c:v>8.9398236731300145</c:v>
                </c:pt>
                <c:pt idx="16">
                  <c:v>9.5993855218341935</c:v>
                </c:pt>
                <c:pt idx="17">
                  <c:v>10.298932991427138</c:v>
                </c:pt>
                <c:pt idx="18">
                  <c:v>11.038466081908849</c:v>
                </c:pt>
                <c:pt idx="19">
                  <c:v>11.817984793279324</c:v>
                </c:pt>
                <c:pt idx="20">
                  <c:v>12.637489125538565</c:v>
                </c:pt>
                <c:pt idx="21">
                  <c:v>13.496979078686568</c:v>
                </c:pt>
                <c:pt idx="22">
                  <c:v>14.396454652723337</c:v>
                </c:pt>
                <c:pt idx="23">
                  <c:v>15.335915847648874</c:v>
                </c:pt>
                <c:pt idx="24">
                  <c:v>16.315362663463173</c:v>
                </c:pt>
                <c:pt idx="25">
                  <c:v>17.334795100166239</c:v>
                </c:pt>
                <c:pt idx="26">
                  <c:v>18.394213157758067</c:v>
                </c:pt>
                <c:pt idx="27">
                  <c:v>19.493616836238662</c:v>
                </c:pt>
                <c:pt idx="28">
                  <c:v>20.633006135608024</c:v>
                </c:pt>
                <c:pt idx="29">
                  <c:v>21.812381055866148</c:v>
                </c:pt>
                <c:pt idx="30">
                  <c:v>23.031741597013038</c:v>
                </c:pt>
                <c:pt idx="31">
                  <c:v>24.29108775904869</c:v>
                </c:pt>
                <c:pt idx="32">
                  <c:v>25.590419541973112</c:v>
                </c:pt>
                <c:pt idx="33">
                  <c:v>26.929736945786299</c:v>
                </c:pt>
                <c:pt idx="34">
                  <c:v>28.30903997048825</c:v>
                </c:pt>
                <c:pt idx="35">
                  <c:v>29.728328616078965</c:v>
                </c:pt>
                <c:pt idx="36">
                  <c:v>31.187602882558448</c:v>
                </c:pt>
                <c:pt idx="37">
                  <c:v>32.686862769926691</c:v>
                </c:pt>
                <c:pt idx="38">
                  <c:v>34.226108278183702</c:v>
                </c:pt>
                <c:pt idx="39">
                  <c:v>35.805339407329484</c:v>
                </c:pt>
                <c:pt idx="40">
                  <c:v>37.424556157364023</c:v>
                </c:pt>
                <c:pt idx="41">
                  <c:v>39.083758528287319</c:v>
                </c:pt>
                <c:pt idx="42">
                  <c:v>40.782946520099387</c:v>
                </c:pt>
                <c:pt idx="43">
                  <c:v>42.522120132800204</c:v>
                </c:pt>
                <c:pt idx="44">
                  <c:v>44.301279366389799</c:v>
                </c:pt>
                <c:pt idx="45">
                  <c:v>46.120424220868159</c:v>
                </c:pt>
                <c:pt idx="46">
                  <c:v>47.979554696235276</c:v>
                </c:pt>
                <c:pt idx="47">
                  <c:v>49.878670792491164</c:v>
                </c:pt>
                <c:pt idx="48">
                  <c:v>51.817772509635823</c:v>
                </c:pt>
                <c:pt idx="49">
                  <c:v>53.796859847669232</c:v>
                </c:pt>
                <c:pt idx="50">
                  <c:v>55.81593280659142</c:v>
                </c:pt>
                <c:pt idx="51">
                  <c:v>57.874991386402357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5E-4561-B792-401913D11507}"/>
            </c:ext>
          </c:extLst>
        </c:ser>
        <c:ser>
          <c:idx val="4"/>
          <c:order val="4"/>
          <c:spPr>
            <a:ln w="9525" cap="rnd">
              <a:solidFill>
                <a:schemeClr val="accent5"/>
              </a:solidFill>
              <a:round/>
            </a:ln>
            <a:effectLst/>
          </c:spPr>
          <c:val>
            <c:numRef>
              <c:f>'Нелинейная поверхность'!$B$8:$BA$8</c:f>
              <c:numCache>
                <c:formatCode>General</c:formatCode>
                <c:ptCount val="52"/>
                <c:pt idx="0">
                  <c:v>0.60000000000000009</c:v>
                </c:pt>
                <c:pt idx="1">
                  <c:v>4.1044174483072124</c:v>
                </c:pt>
                <c:pt idx="2">
                  <c:v>4.2222558955010019</c:v>
                </c:pt>
                <c:pt idx="3">
                  <c:v>4.3800799635835572</c:v>
                </c:pt>
                <c:pt idx="4">
                  <c:v>4.5778896525548767</c:v>
                </c:pt>
                <c:pt idx="5">
                  <c:v>4.815684962414962</c:v>
                </c:pt>
                <c:pt idx="6">
                  <c:v>5.0934658931638106</c:v>
                </c:pt>
                <c:pt idx="7">
                  <c:v>5.411232444801426</c:v>
                </c:pt>
                <c:pt idx="8">
                  <c:v>5.7689846173278045</c:v>
                </c:pt>
                <c:pt idx="9">
                  <c:v>6.1667224107429508</c:v>
                </c:pt>
                <c:pt idx="10">
                  <c:v>6.6044458250468585</c:v>
                </c:pt>
                <c:pt idx="11">
                  <c:v>7.0821548602395321</c:v>
                </c:pt>
                <c:pt idx="12">
                  <c:v>7.5998495163209725</c:v>
                </c:pt>
                <c:pt idx="13">
                  <c:v>8.157529793291177</c:v>
                </c:pt>
                <c:pt idx="14">
                  <c:v>8.7551956911501474</c:v>
                </c:pt>
                <c:pt idx="15">
                  <c:v>9.3928472098978819</c:v>
                </c:pt>
                <c:pt idx="16">
                  <c:v>10.070484349534384</c:v>
                </c:pt>
                <c:pt idx="17">
                  <c:v>10.788107110059649</c:v>
                </c:pt>
                <c:pt idx="18">
                  <c:v>11.545715491473677</c:v>
                </c:pt>
                <c:pt idx="19">
                  <c:v>12.343309493776472</c:v>
                </c:pt>
                <c:pt idx="20">
                  <c:v>13.180889116968032</c:v>
                </c:pt>
                <c:pt idx="21">
                  <c:v>14.058454361048357</c:v>
                </c:pt>
                <c:pt idx="22">
                  <c:v>14.976005226017444</c:v>
                </c:pt>
                <c:pt idx="23">
                  <c:v>15.9335417118753</c:v>
                </c:pt>
                <c:pt idx="24">
                  <c:v>16.931063818621922</c:v>
                </c:pt>
                <c:pt idx="25">
                  <c:v>17.968571546257309</c:v>
                </c:pt>
                <c:pt idx="26">
                  <c:v>19.046064894781455</c:v>
                </c:pt>
                <c:pt idx="27">
                  <c:v>20.163543864194374</c:v>
                </c:pt>
                <c:pt idx="28">
                  <c:v>21.321008454496052</c:v>
                </c:pt>
                <c:pt idx="29">
                  <c:v>22.518458665686495</c:v>
                </c:pt>
                <c:pt idx="30">
                  <c:v>23.755894497765709</c:v>
                </c:pt>
                <c:pt idx="31">
                  <c:v>25.033315950733684</c:v>
                </c:pt>
                <c:pt idx="32">
                  <c:v>26.350723024590422</c:v>
                </c:pt>
                <c:pt idx="33">
                  <c:v>27.708115719335929</c:v>
                </c:pt>
                <c:pt idx="34">
                  <c:v>29.105494034970203</c:v>
                </c:pt>
                <c:pt idx="35">
                  <c:v>30.542857971493238</c:v>
                </c:pt>
                <c:pt idx="36">
                  <c:v>32.02020752890504</c:v>
                </c:pt>
                <c:pt idx="37">
                  <c:v>33.537542707205603</c:v>
                </c:pt>
                <c:pt idx="38">
                  <c:v>35.09486350639493</c:v>
                </c:pt>
                <c:pt idx="39">
                  <c:v>36.692169926473028</c:v>
                </c:pt>
                <c:pt idx="40">
                  <c:v>38.32946196743989</c:v>
                </c:pt>
                <c:pt idx="41">
                  <c:v>40.00673962929551</c:v>
                </c:pt>
                <c:pt idx="42">
                  <c:v>41.724002912039893</c:v>
                </c:pt>
                <c:pt idx="43">
                  <c:v>43.481251815673041</c:v>
                </c:pt>
                <c:pt idx="44">
                  <c:v>45.278486340194952</c:v>
                </c:pt>
                <c:pt idx="45">
                  <c:v>47.115706485605628</c:v>
                </c:pt>
                <c:pt idx="46">
                  <c:v>48.992912251905075</c:v>
                </c:pt>
                <c:pt idx="47">
                  <c:v>50.910103639093279</c:v>
                </c:pt>
                <c:pt idx="48">
                  <c:v>52.867280647170247</c:v>
                </c:pt>
                <c:pt idx="49">
                  <c:v>54.864443276135987</c:v>
                </c:pt>
                <c:pt idx="50">
                  <c:v>56.90159152599049</c:v>
                </c:pt>
                <c:pt idx="51">
                  <c:v>58.978725396733751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5E-4561-B792-401913D11507}"/>
            </c:ext>
          </c:extLst>
        </c:ser>
        <c:ser>
          <c:idx val="5"/>
          <c:order val="5"/>
          <c:spPr>
            <a:ln w="9525" cap="rnd">
              <a:solidFill>
                <a:schemeClr val="accent6"/>
              </a:solidFill>
              <a:round/>
            </a:ln>
            <a:effectLst/>
          </c:spPr>
          <c:val>
            <c:numRef>
              <c:f>'Нелинейная поверхность'!$B$9:$BA$9</c:f>
              <c:numCache>
                <c:formatCode>General</c:formatCode>
                <c:ptCount val="52"/>
                <c:pt idx="0">
                  <c:v>0.8</c:v>
                </c:pt>
                <c:pt idx="1">
                  <c:v>4.3398485425557016</c:v>
                </c:pt>
                <c:pt idx="2">
                  <c:v>4.4757622806818107</c:v>
                </c:pt>
                <c:pt idx="3">
                  <c:v>4.6516616396966866</c:v>
                </c:pt>
                <c:pt idx="4">
                  <c:v>4.8675466196003256</c:v>
                </c:pt>
                <c:pt idx="5">
                  <c:v>5.1234172203927315</c:v>
                </c:pt>
                <c:pt idx="6">
                  <c:v>5.4192734420739006</c:v>
                </c:pt>
                <c:pt idx="7">
                  <c:v>5.7551152846438338</c:v>
                </c:pt>
                <c:pt idx="8">
                  <c:v>6.1309427481025338</c:v>
                </c:pt>
                <c:pt idx="9">
                  <c:v>6.5467558324499988</c:v>
                </c:pt>
                <c:pt idx="10">
                  <c:v>7.0025545376862288</c:v>
                </c:pt>
                <c:pt idx="11">
                  <c:v>7.4983388638112229</c:v>
                </c:pt>
                <c:pt idx="12">
                  <c:v>8.0341088108249821</c:v>
                </c:pt>
                <c:pt idx="13">
                  <c:v>8.609864378727508</c:v>
                </c:pt>
                <c:pt idx="14">
                  <c:v>9.225605567518798</c:v>
                </c:pt>
                <c:pt idx="15">
                  <c:v>9.8813323771988522</c:v>
                </c:pt>
                <c:pt idx="16">
                  <c:v>10.577044807767674</c:v>
                </c:pt>
                <c:pt idx="17">
                  <c:v>11.312742859225256</c:v>
                </c:pt>
                <c:pt idx="18">
                  <c:v>12.088426531571606</c:v>
                </c:pt>
                <c:pt idx="19">
                  <c:v>12.904095824806724</c:v>
                </c:pt>
                <c:pt idx="20">
                  <c:v>13.759750738930602</c:v>
                </c:pt>
                <c:pt idx="21">
                  <c:v>14.655391273943248</c:v>
                </c:pt>
                <c:pt idx="22">
                  <c:v>15.591017429844655</c:v>
                </c:pt>
                <c:pt idx="23">
                  <c:v>16.566629206634833</c:v>
                </c:pt>
                <c:pt idx="24">
                  <c:v>17.582226604313774</c:v>
                </c:pt>
                <c:pt idx="25">
                  <c:v>18.63780962288148</c:v>
                </c:pt>
                <c:pt idx="26">
                  <c:v>19.733378262337947</c:v>
                </c:pt>
                <c:pt idx="27">
                  <c:v>20.868932522683185</c:v>
                </c:pt>
                <c:pt idx="28">
                  <c:v>22.044472403917183</c:v>
                </c:pt>
                <c:pt idx="29">
                  <c:v>23.259997906039949</c:v>
                </c:pt>
                <c:pt idx="30">
                  <c:v>24.515509029051479</c:v>
                </c:pt>
                <c:pt idx="31">
                  <c:v>25.811005772951777</c:v>
                </c:pt>
                <c:pt idx="32">
                  <c:v>27.146488137740835</c:v>
                </c:pt>
                <c:pt idx="33">
                  <c:v>28.521956123418661</c:v>
                </c:pt>
                <c:pt idx="34">
                  <c:v>29.937409729985255</c:v>
                </c:pt>
                <c:pt idx="35">
                  <c:v>31.392848957440609</c:v>
                </c:pt>
                <c:pt idx="36">
                  <c:v>32.888273805784728</c:v>
                </c:pt>
                <c:pt idx="37">
                  <c:v>34.423684275017614</c:v>
                </c:pt>
                <c:pt idx="38">
                  <c:v>35.999080365139264</c:v>
                </c:pt>
                <c:pt idx="39">
                  <c:v>37.614462076149678</c:v>
                </c:pt>
                <c:pt idx="40">
                  <c:v>39.269829408048864</c:v>
                </c:pt>
                <c:pt idx="41">
                  <c:v>40.965182360836799</c:v>
                </c:pt>
                <c:pt idx="42">
                  <c:v>42.700520934513506</c:v>
                </c:pt>
                <c:pt idx="43">
                  <c:v>44.475845129078969</c:v>
                </c:pt>
                <c:pt idx="44">
                  <c:v>46.291154944533197</c:v>
                </c:pt>
                <c:pt idx="45">
                  <c:v>48.146450380876203</c:v>
                </c:pt>
                <c:pt idx="46">
                  <c:v>50.041731438107966</c:v>
                </c:pt>
                <c:pt idx="47">
                  <c:v>51.976998116228486</c:v>
                </c:pt>
                <c:pt idx="48">
                  <c:v>53.952250415237778</c:v>
                </c:pt>
                <c:pt idx="49">
                  <c:v>55.967488335135833</c:v>
                </c:pt>
                <c:pt idx="50">
                  <c:v>58.02271187592266</c:v>
                </c:pt>
                <c:pt idx="51">
                  <c:v>60.117921037598244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D5E-4561-B792-401913D11507}"/>
            </c:ext>
          </c:extLst>
        </c:ser>
        <c:ser>
          <c:idx val="6"/>
          <c:order val="6"/>
          <c:spPr>
            <a:ln w="95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поверхность'!$B$10:$BA$10</c:f>
              <c:numCache>
                <c:formatCode>General</c:formatCode>
                <c:ptCount val="52"/>
                <c:pt idx="0">
                  <c:v>1</c:v>
                </c:pt>
                <c:pt idx="1">
                  <c:v>4.6107412673372892</c:v>
                </c:pt>
                <c:pt idx="2">
                  <c:v>4.7647302963957188</c:v>
                </c:pt>
                <c:pt idx="3">
                  <c:v>4.9587049463429143</c:v>
                </c:pt>
                <c:pt idx="4">
                  <c:v>5.192665217178873</c:v>
                </c:pt>
                <c:pt idx="5">
                  <c:v>5.4666111089035994</c:v>
                </c:pt>
                <c:pt idx="6">
                  <c:v>5.7805426215170881</c:v>
                </c:pt>
                <c:pt idx="7">
                  <c:v>6.1344597550193418</c:v>
                </c:pt>
                <c:pt idx="8">
                  <c:v>6.5283625094103623</c:v>
                </c:pt>
                <c:pt idx="9">
                  <c:v>6.962250884690147</c:v>
                </c:pt>
                <c:pt idx="10">
                  <c:v>7.4361248808586975</c:v>
                </c:pt>
                <c:pt idx="11">
                  <c:v>7.9499844979160113</c:v>
                </c:pt>
                <c:pt idx="12">
                  <c:v>8.5038297358620909</c:v>
                </c:pt>
                <c:pt idx="13">
                  <c:v>9.0976605946969347</c:v>
                </c:pt>
                <c:pt idx="14">
                  <c:v>9.7314770744205461</c:v>
                </c:pt>
                <c:pt idx="15">
                  <c:v>10.405279175032922</c:v>
                </c:pt>
                <c:pt idx="16">
                  <c:v>11.119066896534061</c:v>
                </c:pt>
                <c:pt idx="17">
                  <c:v>11.872840238923965</c:v>
                </c:pt>
                <c:pt idx="18">
                  <c:v>12.666599202202638</c:v>
                </c:pt>
                <c:pt idx="19">
                  <c:v>13.50034378637007</c:v>
                </c:pt>
                <c:pt idx="20">
                  <c:v>14.374073991426272</c:v>
                </c:pt>
                <c:pt idx="21">
                  <c:v>15.287789817371234</c:v>
                </c:pt>
                <c:pt idx="22">
                  <c:v>16.241491264204964</c:v>
                </c:pt>
                <c:pt idx="23">
                  <c:v>17.235178331927461</c:v>
                </c:pt>
                <c:pt idx="24">
                  <c:v>18.268851020538722</c:v>
                </c:pt>
                <c:pt idx="25">
                  <c:v>19.342509330038748</c:v>
                </c:pt>
                <c:pt idx="26">
                  <c:v>20.456153260427534</c:v>
                </c:pt>
                <c:pt idx="27">
                  <c:v>21.609782811705095</c:v>
                </c:pt>
                <c:pt idx="28">
                  <c:v>22.803397983871413</c:v>
                </c:pt>
                <c:pt idx="29">
                  <c:v>24.036998776926499</c:v>
                </c:pt>
                <c:pt idx="30">
                  <c:v>25.310585190870352</c:v>
                </c:pt>
                <c:pt idx="31">
                  <c:v>26.624157225702962</c:v>
                </c:pt>
                <c:pt idx="32">
                  <c:v>27.977714881424344</c:v>
                </c:pt>
                <c:pt idx="33">
                  <c:v>29.371258158034493</c:v>
                </c:pt>
                <c:pt idx="34">
                  <c:v>30.804787055533403</c:v>
                </c:pt>
                <c:pt idx="35">
                  <c:v>32.278301573921077</c:v>
                </c:pt>
                <c:pt idx="36">
                  <c:v>33.791801713197522</c:v>
                </c:pt>
                <c:pt idx="37">
                  <c:v>35.345287473362724</c:v>
                </c:pt>
                <c:pt idx="38">
                  <c:v>36.938758854416697</c:v>
                </c:pt>
                <c:pt idx="39">
                  <c:v>38.572215856359435</c:v>
                </c:pt>
                <c:pt idx="40">
                  <c:v>40.245658479190936</c:v>
                </c:pt>
                <c:pt idx="41">
                  <c:v>41.959086722911188</c:v>
                </c:pt>
                <c:pt idx="42">
                  <c:v>43.712500587520218</c:v>
                </c:pt>
                <c:pt idx="43">
                  <c:v>45.505900073018005</c:v>
                </c:pt>
                <c:pt idx="44">
                  <c:v>47.339285179404555</c:v>
                </c:pt>
                <c:pt idx="45">
                  <c:v>49.212655906679871</c:v>
                </c:pt>
                <c:pt idx="46">
                  <c:v>51.126012254843957</c:v>
                </c:pt>
                <c:pt idx="47">
                  <c:v>53.0793542238968</c:v>
                </c:pt>
                <c:pt idx="48">
                  <c:v>55.072681813838415</c:v>
                </c:pt>
                <c:pt idx="49">
                  <c:v>57.105995024668786</c:v>
                </c:pt>
                <c:pt idx="50">
                  <c:v>59.179293856387929</c:v>
                </c:pt>
                <c:pt idx="51">
                  <c:v>61.292578308995836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D5E-4561-B792-401913D11507}"/>
            </c:ext>
          </c:extLst>
        </c:ser>
        <c:ser>
          <c:idx val="7"/>
          <c:order val="7"/>
          <c:spPr>
            <a:ln w="95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поверхность'!$B$11:$BA$11</c:f>
              <c:numCache>
                <c:formatCode>General</c:formatCode>
                <c:ptCount val="52"/>
                <c:pt idx="0">
                  <c:v>1.2</c:v>
                </c:pt>
                <c:pt idx="1">
                  <c:v>4.9170956226519769</c:v>
                </c:pt>
                <c:pt idx="2">
                  <c:v>5.089159942642727</c:v>
                </c:pt>
                <c:pt idx="3">
                  <c:v>5.3012098835222421</c:v>
                </c:pt>
                <c:pt idx="4">
                  <c:v>5.5532454452905222</c:v>
                </c:pt>
                <c:pt idx="5">
                  <c:v>5.8452666279475674</c:v>
                </c:pt>
                <c:pt idx="6">
                  <c:v>6.1772734314933757</c:v>
                </c:pt>
                <c:pt idx="7">
                  <c:v>6.5492658559279509</c:v>
                </c:pt>
                <c:pt idx="8">
                  <c:v>6.9612439012512901</c:v>
                </c:pt>
                <c:pt idx="9">
                  <c:v>7.4132075674633953</c:v>
                </c:pt>
                <c:pt idx="10">
                  <c:v>7.9051568545642654</c:v>
                </c:pt>
                <c:pt idx="11">
                  <c:v>8.4370917625538997</c:v>
                </c:pt>
                <c:pt idx="12">
                  <c:v>9.009012291432299</c:v>
                </c:pt>
                <c:pt idx="13">
                  <c:v>9.6209184411994642</c:v>
                </c:pt>
                <c:pt idx="14">
                  <c:v>10.272810211855395</c:v>
                </c:pt>
                <c:pt idx="15">
                  <c:v>10.964687603400089</c:v>
                </c:pt>
                <c:pt idx="16">
                  <c:v>11.696550615833551</c:v>
                </c:pt>
                <c:pt idx="17">
                  <c:v>12.468399249155775</c:v>
                </c:pt>
                <c:pt idx="18">
                  <c:v>13.280233503366766</c:v>
                </c:pt>
                <c:pt idx="19">
                  <c:v>14.132053378466521</c:v>
                </c:pt>
                <c:pt idx="20">
                  <c:v>15.023858874455042</c:v>
                </c:pt>
                <c:pt idx="21">
                  <c:v>15.955649991332326</c:v>
                </c:pt>
                <c:pt idx="22">
                  <c:v>16.927426729098375</c:v>
                </c:pt>
                <c:pt idx="23">
                  <c:v>17.939189087753192</c:v>
                </c:pt>
                <c:pt idx="24">
                  <c:v>18.990937067296773</c:v>
                </c:pt>
                <c:pt idx="25">
                  <c:v>20.082670667729118</c:v>
                </c:pt>
                <c:pt idx="26">
                  <c:v>21.214389889050224</c:v>
                </c:pt>
                <c:pt idx="27">
                  <c:v>22.386094731260101</c:v>
                </c:pt>
                <c:pt idx="28">
                  <c:v>23.597785194358742</c:v>
                </c:pt>
                <c:pt idx="29">
                  <c:v>24.849461278346148</c:v>
                </c:pt>
                <c:pt idx="30">
                  <c:v>26.141122983222317</c:v>
                </c:pt>
                <c:pt idx="31">
                  <c:v>27.472770308987251</c:v>
                </c:pt>
                <c:pt idx="32">
                  <c:v>28.844403255640955</c:v>
                </c:pt>
                <c:pt idx="33">
                  <c:v>30.256021823183417</c:v>
                </c:pt>
                <c:pt idx="34">
                  <c:v>31.70762601161465</c:v>
                </c:pt>
                <c:pt idx="35">
                  <c:v>33.199215820934647</c:v>
                </c:pt>
                <c:pt idx="36">
                  <c:v>34.730791251143408</c:v>
                </c:pt>
                <c:pt idx="37">
                  <c:v>36.302352302240934</c:v>
                </c:pt>
                <c:pt idx="38">
                  <c:v>37.91389897422723</c:v>
                </c:pt>
                <c:pt idx="39">
                  <c:v>39.565431267102284</c:v>
                </c:pt>
                <c:pt idx="40">
                  <c:v>41.256949180866101</c:v>
                </c:pt>
                <c:pt idx="41">
                  <c:v>42.988452715518683</c:v>
                </c:pt>
                <c:pt idx="42">
                  <c:v>44.759941871060029</c:v>
                </c:pt>
                <c:pt idx="43">
                  <c:v>46.571416647490125</c:v>
                </c:pt>
                <c:pt idx="44">
                  <c:v>48.422877044809006</c:v>
                </c:pt>
                <c:pt idx="45">
                  <c:v>50.314323063016644</c:v>
                </c:pt>
                <c:pt idx="46">
                  <c:v>52.24575470211304</c:v>
                </c:pt>
                <c:pt idx="47">
                  <c:v>54.217171962098206</c:v>
                </c:pt>
                <c:pt idx="48">
                  <c:v>56.228574842972144</c:v>
                </c:pt>
                <c:pt idx="49">
                  <c:v>58.279963344734831</c:v>
                </c:pt>
                <c:pt idx="50">
                  <c:v>60.371337467386297</c:v>
                </c:pt>
                <c:pt idx="51">
                  <c:v>62.502697210926527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D5E-4561-B792-401913D11507}"/>
            </c:ext>
          </c:extLst>
        </c:ser>
        <c:ser>
          <c:idx val="8"/>
          <c:order val="8"/>
          <c:spPr>
            <a:ln w="95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поверхность'!$B$12:$BA$12</c:f>
              <c:numCache>
                <c:formatCode>General</c:formatCode>
                <c:ptCount val="52"/>
                <c:pt idx="0">
                  <c:v>1.4</c:v>
                </c:pt>
                <c:pt idx="1">
                  <c:v>5.2589116084997656</c:v>
                </c:pt>
                <c:pt idx="2">
                  <c:v>5.4490512194228344</c:v>
                </c:pt>
                <c:pt idx="3">
                  <c:v>5.679176451234671</c:v>
                </c:pt>
                <c:pt idx="4">
                  <c:v>5.9492873039352698</c:v>
                </c:pt>
                <c:pt idx="5">
                  <c:v>6.2593837775246364</c:v>
                </c:pt>
                <c:pt idx="6">
                  <c:v>6.6094658720027653</c:v>
                </c:pt>
                <c:pt idx="7">
                  <c:v>6.9995335873696591</c:v>
                </c:pt>
                <c:pt idx="8">
                  <c:v>7.4295869236253189</c:v>
                </c:pt>
                <c:pt idx="9">
                  <c:v>7.8996258807697437</c:v>
                </c:pt>
                <c:pt idx="10">
                  <c:v>8.4096504588029326</c:v>
                </c:pt>
                <c:pt idx="11">
                  <c:v>8.9596606577248874</c:v>
                </c:pt>
                <c:pt idx="12">
                  <c:v>9.5496564775356081</c:v>
                </c:pt>
                <c:pt idx="13">
                  <c:v>10.179637918235093</c:v>
                </c:pt>
                <c:pt idx="14">
                  <c:v>10.849604979823345</c:v>
                </c:pt>
                <c:pt idx="15">
                  <c:v>11.55955766230036</c:v>
                </c:pt>
                <c:pt idx="16">
                  <c:v>12.309495965666139</c:v>
                </c:pt>
                <c:pt idx="17">
                  <c:v>13.099419889920684</c:v>
                </c:pt>
                <c:pt idx="18">
                  <c:v>13.929329435063996</c:v>
                </c:pt>
                <c:pt idx="19">
                  <c:v>14.799224601096071</c:v>
                </c:pt>
                <c:pt idx="20">
                  <c:v>15.709105388016912</c:v>
                </c:pt>
                <c:pt idx="21">
                  <c:v>16.658971795826513</c:v>
                </c:pt>
                <c:pt idx="22">
                  <c:v>17.648823824524886</c:v>
                </c:pt>
                <c:pt idx="23">
                  <c:v>18.678661474112022</c:v>
                </c:pt>
                <c:pt idx="24">
                  <c:v>19.74848474458792</c:v>
                </c:pt>
                <c:pt idx="25">
                  <c:v>20.858293635952588</c:v>
                </c:pt>
                <c:pt idx="26">
                  <c:v>22.008088148206017</c:v>
                </c:pt>
                <c:pt idx="27">
                  <c:v>23.197868281348214</c:v>
                </c:pt>
                <c:pt idx="28">
                  <c:v>24.427634035379175</c:v>
                </c:pt>
                <c:pt idx="29">
                  <c:v>25.697385410298899</c:v>
                </c:pt>
                <c:pt idx="30">
                  <c:v>27.007122406107392</c:v>
                </c:pt>
                <c:pt idx="31">
                  <c:v>28.356845022804645</c:v>
                </c:pt>
                <c:pt idx="32">
                  <c:v>29.746553260390662</c:v>
                </c:pt>
                <c:pt idx="33">
                  <c:v>31.176247118865454</c:v>
                </c:pt>
                <c:pt idx="34">
                  <c:v>32.645926598229003</c:v>
                </c:pt>
                <c:pt idx="35">
                  <c:v>34.155591698481324</c:v>
                </c:pt>
                <c:pt idx="36">
                  <c:v>35.705242419622401</c:v>
                </c:pt>
                <c:pt idx="37">
                  <c:v>37.294878761652242</c:v>
                </c:pt>
                <c:pt idx="38">
                  <c:v>38.924500724570848</c:v>
                </c:pt>
                <c:pt idx="39">
                  <c:v>40.594108308378232</c:v>
                </c:pt>
                <c:pt idx="40">
                  <c:v>42.303701513074373</c:v>
                </c:pt>
                <c:pt idx="41">
                  <c:v>44.05328033865927</c:v>
                </c:pt>
                <c:pt idx="42">
                  <c:v>45.842844785132939</c:v>
                </c:pt>
                <c:pt idx="43">
                  <c:v>47.672394852495358</c:v>
                </c:pt>
                <c:pt idx="44">
                  <c:v>49.541930540746556</c:v>
                </c:pt>
                <c:pt idx="45">
                  <c:v>51.45145184988651</c:v>
                </c:pt>
                <c:pt idx="46">
                  <c:v>53.400958779915229</c:v>
                </c:pt>
                <c:pt idx="47">
                  <c:v>55.390451330832718</c:v>
                </c:pt>
                <c:pt idx="48">
                  <c:v>57.419929502638972</c:v>
                </c:pt>
                <c:pt idx="49">
                  <c:v>59.489393295333983</c:v>
                </c:pt>
                <c:pt idx="50">
                  <c:v>61.598842708917772</c:v>
                </c:pt>
                <c:pt idx="51">
                  <c:v>63.748277743390311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5E-4561-B792-401913D11507}"/>
            </c:ext>
          </c:extLst>
        </c:ser>
        <c:ser>
          <c:idx val="9"/>
          <c:order val="9"/>
          <c:spPr>
            <a:ln w="95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поверхность'!$B$13:$BA$13</c:f>
              <c:numCache>
                <c:formatCode>General</c:formatCode>
                <c:ptCount val="52"/>
                <c:pt idx="0">
                  <c:v>1.5999999999999999</c:v>
                </c:pt>
                <c:pt idx="1">
                  <c:v>5.6361892248806544</c:v>
                </c:pt>
                <c:pt idx="2">
                  <c:v>5.8444041267360447</c:v>
                </c:pt>
                <c:pt idx="3">
                  <c:v>6.0926046494801991</c:v>
                </c:pt>
                <c:pt idx="4">
                  <c:v>6.3807907931131194</c:v>
                </c:pt>
                <c:pt idx="5">
                  <c:v>6.7089625576348046</c:v>
                </c:pt>
                <c:pt idx="6">
                  <c:v>7.0771199430452532</c:v>
                </c:pt>
                <c:pt idx="7">
                  <c:v>7.4852629493444693</c:v>
                </c:pt>
                <c:pt idx="8">
                  <c:v>7.9333915765324479</c:v>
                </c:pt>
                <c:pt idx="9">
                  <c:v>8.4215058246091932</c:v>
                </c:pt>
                <c:pt idx="10">
                  <c:v>8.9496056935747017</c:v>
                </c:pt>
                <c:pt idx="11">
                  <c:v>9.5176911834289761</c:v>
                </c:pt>
                <c:pt idx="12">
                  <c:v>10.125762294172016</c:v>
                </c:pt>
                <c:pt idx="13">
                  <c:v>10.773819025803823</c:v>
                </c:pt>
                <c:pt idx="14">
                  <c:v>11.461861378324393</c:v>
                </c:pt>
                <c:pt idx="15">
                  <c:v>12.189889351733727</c:v>
                </c:pt>
                <c:pt idx="16">
                  <c:v>12.95790294603183</c:v>
                </c:pt>
                <c:pt idx="17">
                  <c:v>13.765902161218694</c:v>
                </c:pt>
                <c:pt idx="18">
                  <c:v>14.613886997294324</c:v>
                </c:pt>
                <c:pt idx="19">
                  <c:v>15.501857454258719</c:v>
                </c:pt>
                <c:pt idx="20">
                  <c:v>16.429813532111879</c:v>
                </c:pt>
                <c:pt idx="21">
                  <c:v>17.397755230853804</c:v>
                </c:pt>
                <c:pt idx="22">
                  <c:v>18.405682550484492</c:v>
                </c:pt>
                <c:pt idx="23">
                  <c:v>19.453595491003949</c:v>
                </c:pt>
                <c:pt idx="24">
                  <c:v>20.541494052412173</c:v>
                </c:pt>
                <c:pt idx="25">
                  <c:v>21.669378234709157</c:v>
                </c:pt>
                <c:pt idx="26">
                  <c:v>22.837248037894906</c:v>
                </c:pt>
                <c:pt idx="27">
                  <c:v>24.045103461969422</c:v>
                </c:pt>
                <c:pt idx="28">
                  <c:v>25.292944506932702</c:v>
                </c:pt>
                <c:pt idx="29">
                  <c:v>26.580771172784747</c:v>
                </c:pt>
                <c:pt idx="30">
                  <c:v>27.908583459525559</c:v>
                </c:pt>
                <c:pt idx="31">
                  <c:v>29.276381367155135</c:v>
                </c:pt>
                <c:pt idx="32">
                  <c:v>30.684164895673476</c:v>
                </c:pt>
                <c:pt idx="33">
                  <c:v>32.131934045080584</c:v>
                </c:pt>
                <c:pt idx="34">
                  <c:v>33.619688815376456</c:v>
                </c:pt>
                <c:pt idx="35">
                  <c:v>35.147429206561092</c:v>
                </c:pt>
                <c:pt idx="36">
                  <c:v>36.715155218634493</c:v>
                </c:pt>
                <c:pt idx="37">
                  <c:v>38.322866851596658</c:v>
                </c:pt>
                <c:pt idx="38">
                  <c:v>39.970564105447586</c:v>
                </c:pt>
                <c:pt idx="39">
                  <c:v>41.658246980187286</c:v>
                </c:pt>
                <c:pt idx="40">
                  <c:v>43.385915475815743</c:v>
                </c:pt>
                <c:pt idx="41">
                  <c:v>45.153569592332971</c:v>
                </c:pt>
                <c:pt idx="42">
                  <c:v>46.961209329738949</c:v>
                </c:pt>
                <c:pt idx="43">
                  <c:v>48.808834688033691</c:v>
                </c:pt>
                <c:pt idx="44">
                  <c:v>50.696445667217212</c:v>
                </c:pt>
                <c:pt idx="45">
                  <c:v>52.624042267289482</c:v>
                </c:pt>
                <c:pt idx="46">
                  <c:v>54.591624488250531</c:v>
                </c:pt>
                <c:pt idx="47">
                  <c:v>56.599192330100337</c:v>
                </c:pt>
                <c:pt idx="48">
                  <c:v>58.6467457928389</c:v>
                </c:pt>
                <c:pt idx="49">
                  <c:v>60.734284876466241</c:v>
                </c:pt>
                <c:pt idx="50">
                  <c:v>62.861809580982346</c:v>
                </c:pt>
                <c:pt idx="51">
                  <c:v>65.029319906387201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D5E-4561-B792-401913D11507}"/>
            </c:ext>
          </c:extLst>
        </c:ser>
        <c:ser>
          <c:idx val="10"/>
          <c:order val="10"/>
          <c:spPr>
            <a:ln w="95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поверхность'!$B$14:$BA$14</c:f>
              <c:numCache>
                <c:formatCode>General</c:formatCode>
                <c:ptCount val="52"/>
                <c:pt idx="0">
                  <c:v>1.7999999999999998</c:v>
                </c:pt>
                <c:pt idx="1">
                  <c:v>6.0489284717946425</c:v>
                </c:pt>
                <c:pt idx="2">
                  <c:v>6.2752186645823524</c:v>
                </c:pt>
                <c:pt idx="3">
                  <c:v>6.5414944782588273</c:v>
                </c:pt>
                <c:pt idx="4">
                  <c:v>6.8477559128240673</c:v>
                </c:pt>
                <c:pt idx="5">
                  <c:v>7.1940029682780731</c:v>
                </c:pt>
                <c:pt idx="6">
                  <c:v>7.5802356446208421</c:v>
                </c:pt>
                <c:pt idx="7">
                  <c:v>8.0064539418523779</c:v>
                </c:pt>
                <c:pt idx="8">
                  <c:v>8.4726578599726778</c:v>
                </c:pt>
                <c:pt idx="9">
                  <c:v>8.9788473989817419</c:v>
                </c:pt>
                <c:pt idx="10">
                  <c:v>9.5250225588795701</c:v>
                </c:pt>
                <c:pt idx="11">
                  <c:v>10.111183339666166</c:v>
                </c:pt>
                <c:pt idx="12">
                  <c:v>10.737329741341526</c:v>
                </c:pt>
                <c:pt idx="13">
                  <c:v>11.403461763905652</c:v>
                </c:pt>
                <c:pt idx="14">
                  <c:v>12.109579407358542</c:v>
                </c:pt>
                <c:pt idx="15">
                  <c:v>12.855682671700196</c:v>
                </c:pt>
                <c:pt idx="16">
                  <c:v>13.641771556930617</c:v>
                </c:pt>
                <c:pt idx="17">
                  <c:v>14.467846063049802</c:v>
                </c:pt>
                <c:pt idx="18">
                  <c:v>15.333906190057753</c:v>
                </c:pt>
                <c:pt idx="19">
                  <c:v>16.239951937954469</c:v>
                </c:pt>
                <c:pt idx="20">
                  <c:v>17.185983306739949</c:v>
                </c:pt>
                <c:pt idx="21">
                  <c:v>18.172000296414193</c:v>
                </c:pt>
                <c:pt idx="22">
                  <c:v>19.198002906977202</c:v>
                </c:pt>
                <c:pt idx="23">
                  <c:v>20.263991138428981</c:v>
                </c:pt>
                <c:pt idx="24">
                  <c:v>21.369964990769521</c:v>
                </c:pt>
                <c:pt idx="25">
                  <c:v>22.515924463998825</c:v>
                </c:pt>
                <c:pt idx="26">
                  <c:v>23.701869558116897</c:v>
                </c:pt>
                <c:pt idx="27">
                  <c:v>24.927800273123736</c:v>
                </c:pt>
                <c:pt idx="28">
                  <c:v>26.193716609019333</c:v>
                </c:pt>
                <c:pt idx="29">
                  <c:v>27.499618565803701</c:v>
                </c:pt>
                <c:pt idx="30">
                  <c:v>28.845506143476833</c:v>
                </c:pt>
                <c:pt idx="31">
                  <c:v>30.231379342038728</c:v>
                </c:pt>
                <c:pt idx="32">
                  <c:v>31.657238161489389</c:v>
                </c:pt>
                <c:pt idx="33">
                  <c:v>33.123082601828813</c:v>
                </c:pt>
                <c:pt idx="34">
                  <c:v>34.628912663057008</c:v>
                </c:pt>
                <c:pt idx="35">
                  <c:v>36.174728345173961</c:v>
                </c:pt>
                <c:pt idx="36">
                  <c:v>37.760529648179684</c:v>
                </c:pt>
                <c:pt idx="37">
                  <c:v>39.386316572074165</c:v>
                </c:pt>
                <c:pt idx="38">
                  <c:v>41.052089116857417</c:v>
                </c:pt>
                <c:pt idx="39">
                  <c:v>42.757847282529433</c:v>
                </c:pt>
                <c:pt idx="40">
                  <c:v>44.503591069090213</c:v>
                </c:pt>
                <c:pt idx="41">
                  <c:v>46.28932047653975</c:v>
                </c:pt>
                <c:pt idx="42">
                  <c:v>48.115035504878058</c:v>
                </c:pt>
                <c:pt idx="43">
                  <c:v>49.980736154105124</c:v>
                </c:pt>
                <c:pt idx="44">
                  <c:v>51.886422424220953</c:v>
                </c:pt>
                <c:pt idx="45">
                  <c:v>53.832094315225554</c:v>
                </c:pt>
                <c:pt idx="46">
                  <c:v>55.817751827118919</c:v>
                </c:pt>
                <c:pt idx="47">
                  <c:v>57.84339495990104</c:v>
                </c:pt>
                <c:pt idx="48">
                  <c:v>59.909023713571933</c:v>
                </c:pt>
                <c:pt idx="49">
                  <c:v>62.014638088131591</c:v>
                </c:pt>
                <c:pt idx="50">
                  <c:v>64.160238083580012</c:v>
                </c:pt>
                <c:pt idx="51">
                  <c:v>66.34582369991719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D5E-4561-B792-401913D11507}"/>
            </c:ext>
          </c:extLst>
        </c:ser>
        <c:ser>
          <c:idx val="11"/>
          <c:order val="11"/>
          <c:spPr>
            <a:ln w="95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val>
            <c:numRef>
              <c:f>'Нелинейная поверхность'!$B$15:$BA$15</c:f>
              <c:numCache>
                <c:formatCode>General</c:formatCode>
                <c:ptCount val="52"/>
                <c:pt idx="0">
                  <c:v>1.9999999999999998</c:v>
                </c:pt>
                <c:pt idx="1">
                  <c:v>6.4971293492417317</c:v>
                </c:pt>
                <c:pt idx="2">
                  <c:v>6.7414948329617603</c:v>
                </c:pt>
                <c:pt idx="3">
                  <c:v>7.0258459375705566</c:v>
                </c:pt>
                <c:pt idx="4">
                  <c:v>7.3501826630681162</c:v>
                </c:pt>
                <c:pt idx="5">
                  <c:v>7.7145050094544425</c:v>
                </c:pt>
                <c:pt idx="6">
                  <c:v>8.1188129767295312</c:v>
                </c:pt>
                <c:pt idx="7">
                  <c:v>8.5631065648933848</c:v>
                </c:pt>
                <c:pt idx="8">
                  <c:v>9.0473857739460062</c:v>
                </c:pt>
                <c:pt idx="9">
                  <c:v>9.5716506038873916</c:v>
                </c:pt>
                <c:pt idx="10">
                  <c:v>10.135901054717541</c:v>
                </c:pt>
                <c:pt idx="11">
                  <c:v>10.740137126436457</c:v>
                </c:pt>
                <c:pt idx="12">
                  <c:v>11.384358819044136</c:v>
                </c:pt>
                <c:pt idx="13">
                  <c:v>12.068566132540582</c:v>
                </c:pt>
                <c:pt idx="14">
                  <c:v>12.792759066925791</c:v>
                </c:pt>
                <c:pt idx="15">
                  <c:v>13.556937622199769</c:v>
                </c:pt>
                <c:pt idx="16">
                  <c:v>14.361101798362508</c:v>
                </c:pt>
                <c:pt idx="17">
                  <c:v>15.205251595414012</c:v>
                </c:pt>
                <c:pt idx="18">
                  <c:v>16.089387013354283</c:v>
                </c:pt>
                <c:pt idx="19">
                  <c:v>17.013508052183319</c:v>
                </c:pt>
                <c:pt idx="20">
                  <c:v>17.977614711901118</c:v>
                </c:pt>
                <c:pt idx="21">
                  <c:v>18.981706992507682</c:v>
                </c:pt>
                <c:pt idx="22">
                  <c:v>20.02578489400301</c:v>
                </c:pt>
                <c:pt idx="23">
                  <c:v>21.109848416387109</c:v>
                </c:pt>
                <c:pt idx="24">
                  <c:v>22.233897559659972</c:v>
                </c:pt>
                <c:pt idx="25">
                  <c:v>23.397932323821596</c:v>
                </c:pt>
                <c:pt idx="26">
                  <c:v>24.601952708871984</c:v>
                </c:pt>
                <c:pt idx="27">
                  <c:v>25.845958714811147</c:v>
                </c:pt>
                <c:pt idx="28">
                  <c:v>27.129950341639063</c:v>
                </c:pt>
                <c:pt idx="29">
                  <c:v>28.45392758935575</c:v>
                </c:pt>
                <c:pt idx="30">
                  <c:v>29.817890457961202</c:v>
                </c:pt>
                <c:pt idx="31">
                  <c:v>31.221838947455417</c:v>
                </c:pt>
                <c:pt idx="32">
                  <c:v>32.665773057838393</c:v>
                </c:pt>
                <c:pt idx="33">
                  <c:v>34.149692789110148</c:v>
                </c:pt>
                <c:pt idx="34">
                  <c:v>35.673598141270659</c:v>
                </c:pt>
                <c:pt idx="35">
                  <c:v>37.237489114319935</c:v>
                </c:pt>
                <c:pt idx="36">
                  <c:v>38.841365708257968</c:v>
                </c:pt>
                <c:pt idx="37">
                  <c:v>40.485227923084778</c:v>
                </c:pt>
                <c:pt idx="38">
                  <c:v>42.169075758800354</c:v>
                </c:pt>
                <c:pt idx="39">
                  <c:v>43.892909215404686</c:v>
                </c:pt>
                <c:pt idx="40">
                  <c:v>45.656728292897789</c:v>
                </c:pt>
                <c:pt idx="41">
                  <c:v>47.460532991279642</c:v>
                </c:pt>
                <c:pt idx="42">
                  <c:v>49.304323310550274</c:v>
                </c:pt>
                <c:pt idx="43">
                  <c:v>51.188099250709655</c:v>
                </c:pt>
                <c:pt idx="44">
                  <c:v>53.111860811757808</c:v>
                </c:pt>
                <c:pt idx="45">
                  <c:v>55.075607993694724</c:v>
                </c:pt>
                <c:pt idx="46">
                  <c:v>57.079340796520412</c:v>
                </c:pt>
                <c:pt idx="47">
                  <c:v>59.12305922023485</c:v>
                </c:pt>
                <c:pt idx="48">
                  <c:v>61.206763264838067</c:v>
                </c:pt>
                <c:pt idx="49">
                  <c:v>63.33045293033004</c:v>
                </c:pt>
                <c:pt idx="50">
                  <c:v>65.494128216710777</c:v>
                </c:pt>
                <c:pt idx="51">
                  <c:v>67.697789123980286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D5E-4561-B792-401913D11507}"/>
            </c:ext>
          </c:extLst>
        </c:ser>
        <c:ser>
          <c:idx val="12"/>
          <c:order val="12"/>
          <c:spPr>
            <a:ln w="95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поверхность'!$B$16:$BA$16</c:f>
              <c:numCache>
                <c:formatCode>General</c:formatCode>
                <c:ptCount val="52"/>
                <c:pt idx="0">
                  <c:v>2.1999999999999997</c:v>
                </c:pt>
                <c:pt idx="1">
                  <c:v>6.9807918572219201</c:v>
                </c:pt>
                <c:pt idx="2">
                  <c:v>7.2432326318742701</c:v>
                </c:pt>
                <c:pt idx="3">
                  <c:v>7.5456590274153852</c:v>
                </c:pt>
                <c:pt idx="4">
                  <c:v>7.8880710438452653</c:v>
                </c:pt>
                <c:pt idx="5">
                  <c:v>8.2704686811639121</c:v>
                </c:pt>
                <c:pt idx="6">
                  <c:v>8.6928519393713195</c:v>
                </c:pt>
                <c:pt idx="7">
                  <c:v>9.1552208184674964</c:v>
                </c:pt>
                <c:pt idx="8">
                  <c:v>9.6575753184524338</c:v>
                </c:pt>
                <c:pt idx="9">
                  <c:v>10.199915439326141</c:v>
                </c:pt>
                <c:pt idx="10">
                  <c:v>10.782241181088612</c:v>
                </c:pt>
                <c:pt idx="11">
                  <c:v>11.404552543739845</c:v>
                </c:pt>
                <c:pt idx="12">
                  <c:v>12.066849527279846</c:v>
                </c:pt>
                <c:pt idx="13">
                  <c:v>12.769132131708609</c:v>
                </c:pt>
                <c:pt idx="14">
                  <c:v>13.51140035702614</c:v>
                </c:pt>
                <c:pt idx="15">
                  <c:v>14.293654203232435</c:v>
                </c:pt>
                <c:pt idx="16">
                  <c:v>15.115893670327498</c:v>
                </c:pt>
                <c:pt idx="17">
                  <c:v>15.978118758311322</c:v>
                </c:pt>
                <c:pt idx="18">
                  <c:v>16.880329467183913</c:v>
                </c:pt>
                <c:pt idx="19">
                  <c:v>17.822525796945271</c:v>
                </c:pt>
                <c:pt idx="20">
                  <c:v>18.804707747595391</c:v>
                </c:pt>
                <c:pt idx="21">
                  <c:v>19.826875319134274</c:v>
                </c:pt>
                <c:pt idx="22">
                  <c:v>20.889028511561921</c:v>
                </c:pt>
                <c:pt idx="23">
                  <c:v>21.991167324878337</c:v>
                </c:pt>
                <c:pt idx="24">
                  <c:v>23.133291759083523</c:v>
                </c:pt>
                <c:pt idx="25">
                  <c:v>24.315401814177466</c:v>
                </c:pt>
                <c:pt idx="26">
                  <c:v>25.537497490160177</c:v>
                </c:pt>
                <c:pt idx="27">
                  <c:v>26.799578787031653</c:v>
                </c:pt>
                <c:pt idx="28">
                  <c:v>28.101645704791892</c:v>
                </c:pt>
                <c:pt idx="29">
                  <c:v>29.443698243440899</c:v>
                </c:pt>
                <c:pt idx="30">
                  <c:v>30.82573640297867</c:v>
                </c:pt>
                <c:pt idx="31">
                  <c:v>32.247760183405205</c:v>
                </c:pt>
                <c:pt idx="32">
                  <c:v>33.709769584720505</c:v>
                </c:pt>
                <c:pt idx="33">
                  <c:v>35.211764606924575</c:v>
                </c:pt>
                <c:pt idx="34">
                  <c:v>36.753745250017403</c:v>
                </c:pt>
                <c:pt idx="35">
                  <c:v>38.335711513999001</c:v>
                </c:pt>
                <c:pt idx="36">
                  <c:v>39.957663398869364</c:v>
                </c:pt>
                <c:pt idx="37">
                  <c:v>41.619600904628491</c:v>
                </c:pt>
                <c:pt idx="38">
                  <c:v>43.321524031276383</c:v>
                </c:pt>
                <c:pt idx="39">
                  <c:v>45.063432778813045</c:v>
                </c:pt>
                <c:pt idx="40">
                  <c:v>46.845327147238464</c:v>
                </c:pt>
                <c:pt idx="41">
                  <c:v>48.667207136552641</c:v>
                </c:pt>
                <c:pt idx="42">
                  <c:v>50.529072746755588</c:v>
                </c:pt>
                <c:pt idx="43">
                  <c:v>52.430923977847286</c:v>
                </c:pt>
                <c:pt idx="44">
                  <c:v>54.372760829827762</c:v>
                </c:pt>
                <c:pt idx="45">
                  <c:v>56.354583302697002</c:v>
                </c:pt>
                <c:pt idx="46">
                  <c:v>58.376391396454999</c:v>
                </c:pt>
                <c:pt idx="47">
                  <c:v>60.438185111101767</c:v>
                </c:pt>
                <c:pt idx="48">
                  <c:v>62.539964446637299</c:v>
                </c:pt>
                <c:pt idx="49">
                  <c:v>64.681729403061595</c:v>
                </c:pt>
                <c:pt idx="50">
                  <c:v>66.863479980374663</c:v>
                </c:pt>
                <c:pt idx="51">
                  <c:v>69.085216178576488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D5E-4561-B792-401913D11507}"/>
            </c:ext>
          </c:extLst>
        </c:ser>
        <c:ser>
          <c:idx val="13"/>
          <c:order val="13"/>
          <c:spPr>
            <a:ln w="95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поверхность'!$B$17:$BA$17</c:f>
              <c:numCache>
                <c:formatCode>General</c:formatCode>
                <c:ptCount val="52"/>
                <c:pt idx="0">
                  <c:v>2.4</c:v>
                </c:pt>
                <c:pt idx="1">
                  <c:v>7.4999159957352095</c:v>
                </c:pt>
                <c:pt idx="2">
                  <c:v>7.7804320613198792</c:v>
                </c:pt>
                <c:pt idx="3">
                  <c:v>8.1009337477933148</c:v>
                </c:pt>
                <c:pt idx="4">
                  <c:v>8.4614210551555153</c:v>
                </c:pt>
                <c:pt idx="5">
                  <c:v>8.8618939834064818</c:v>
                </c:pt>
                <c:pt idx="6">
                  <c:v>9.3023525325462089</c:v>
                </c:pt>
                <c:pt idx="7">
                  <c:v>9.7827967025747053</c:v>
                </c:pt>
                <c:pt idx="8">
                  <c:v>10.303226493491966</c:v>
                </c:pt>
                <c:pt idx="9">
                  <c:v>10.863641905297991</c:v>
                </c:pt>
                <c:pt idx="10">
                  <c:v>11.46404293799278</c:v>
                </c:pt>
                <c:pt idx="11">
                  <c:v>12.104429591576334</c:v>
                </c:pt>
                <c:pt idx="12">
                  <c:v>12.784801866048657</c:v>
                </c:pt>
                <c:pt idx="13">
                  <c:v>13.50515976140974</c:v>
                </c:pt>
                <c:pt idx="14">
                  <c:v>14.265503277659594</c:v>
                </c:pt>
                <c:pt idx="15">
                  <c:v>15.065832414798205</c:v>
                </c:pt>
                <c:pt idx="16">
                  <c:v>15.906147172825587</c:v>
                </c:pt>
                <c:pt idx="17">
                  <c:v>16.78644755174173</c:v>
                </c:pt>
                <c:pt idx="18">
                  <c:v>17.706733551546645</c:v>
                </c:pt>
                <c:pt idx="19">
                  <c:v>18.667005172240319</c:v>
                </c:pt>
                <c:pt idx="20">
                  <c:v>19.667262413822762</c:v>
                </c:pt>
                <c:pt idx="21">
                  <c:v>20.707505276293965</c:v>
                </c:pt>
                <c:pt idx="22">
                  <c:v>21.787733759653932</c:v>
                </c:pt>
                <c:pt idx="23">
                  <c:v>22.90794786390267</c:v>
                </c:pt>
                <c:pt idx="24">
                  <c:v>24.068147589040173</c:v>
                </c:pt>
                <c:pt idx="25">
                  <c:v>25.268332935066439</c:v>
                </c:pt>
                <c:pt idx="26">
                  <c:v>26.50850390198147</c:v>
                </c:pt>
                <c:pt idx="27">
                  <c:v>27.788660489785265</c:v>
                </c:pt>
                <c:pt idx="28">
                  <c:v>29.108802698477824</c:v>
                </c:pt>
                <c:pt idx="29">
                  <c:v>30.46893052805915</c:v>
                </c:pt>
                <c:pt idx="30">
                  <c:v>31.869043978529241</c:v>
                </c:pt>
                <c:pt idx="31">
                  <c:v>33.309143049888092</c:v>
                </c:pt>
                <c:pt idx="32">
                  <c:v>34.789227742135715</c:v>
                </c:pt>
                <c:pt idx="33">
                  <c:v>36.309298055272109</c:v>
                </c:pt>
                <c:pt idx="34">
                  <c:v>37.869353989297259</c:v>
                </c:pt>
                <c:pt idx="35">
                  <c:v>39.469395544211174</c:v>
                </c:pt>
                <c:pt idx="36">
                  <c:v>41.10942272001386</c:v>
                </c:pt>
                <c:pt idx="37">
                  <c:v>42.789435516705311</c:v>
                </c:pt>
                <c:pt idx="38">
                  <c:v>44.509433934285511</c:v>
                </c:pt>
                <c:pt idx="39">
                  <c:v>46.269417972754496</c:v>
                </c:pt>
                <c:pt idx="40">
                  <c:v>48.069387632112239</c:v>
                </c:pt>
                <c:pt idx="41">
                  <c:v>49.909342912358731</c:v>
                </c:pt>
                <c:pt idx="42">
                  <c:v>51.789283813494002</c:v>
                </c:pt>
                <c:pt idx="43">
                  <c:v>53.709210335518023</c:v>
                </c:pt>
                <c:pt idx="44">
                  <c:v>55.669122478430815</c:v>
                </c:pt>
                <c:pt idx="45">
                  <c:v>57.669020242232378</c:v>
                </c:pt>
                <c:pt idx="46">
                  <c:v>59.708903626922691</c:v>
                </c:pt>
                <c:pt idx="47">
                  <c:v>61.788772632501782</c:v>
                </c:pt>
                <c:pt idx="48">
                  <c:v>63.908627258969631</c:v>
                </c:pt>
                <c:pt idx="49">
                  <c:v>66.068467506326243</c:v>
                </c:pt>
                <c:pt idx="50">
                  <c:v>68.268293374571627</c:v>
                </c:pt>
                <c:pt idx="51">
                  <c:v>70.508104863705768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D5E-4561-B792-401913D11507}"/>
            </c:ext>
          </c:extLst>
        </c:ser>
        <c:ser>
          <c:idx val="14"/>
          <c:order val="14"/>
          <c:spPr>
            <a:ln w="95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поверхность'!$B$18:$BA$18</c:f>
              <c:numCache>
                <c:formatCode>General</c:formatCode>
                <c:ptCount val="52"/>
                <c:pt idx="0">
                  <c:v>2.6</c:v>
                </c:pt>
                <c:pt idx="1">
                  <c:v>8.0545017647815982</c:v>
                </c:pt>
                <c:pt idx="2">
                  <c:v>8.3530931212985884</c:v>
                </c:pt>
                <c:pt idx="3">
                  <c:v>8.6916700987043445</c:v>
                </c:pt>
                <c:pt idx="4">
                  <c:v>9.0702326969988647</c:v>
                </c:pt>
                <c:pt idx="5">
                  <c:v>9.4887809161821508</c:v>
                </c:pt>
                <c:pt idx="6">
                  <c:v>9.947314756254201</c:v>
                </c:pt>
                <c:pt idx="7">
                  <c:v>10.445834217215015</c:v>
                </c:pt>
                <c:pt idx="8">
                  <c:v>10.984339299064596</c:v>
                </c:pt>
                <c:pt idx="9">
                  <c:v>11.562830001802942</c:v>
                </c:pt>
                <c:pt idx="10">
                  <c:v>12.18130632543005</c:v>
                </c:pt>
                <c:pt idx="11">
                  <c:v>12.839768269945925</c:v>
                </c:pt>
                <c:pt idx="12">
                  <c:v>13.538215835350565</c:v>
                </c:pt>
                <c:pt idx="13">
                  <c:v>14.276649021643969</c:v>
                </c:pt>
                <c:pt idx="14">
                  <c:v>15.055067828826143</c:v>
                </c:pt>
                <c:pt idx="15">
                  <c:v>15.873472256897077</c:v>
                </c:pt>
                <c:pt idx="16">
                  <c:v>16.731862305856779</c:v>
                </c:pt>
                <c:pt idx="17">
                  <c:v>17.630237975705246</c:v>
                </c:pt>
                <c:pt idx="18">
                  <c:v>18.568599266442476</c:v>
                </c:pt>
                <c:pt idx="19">
                  <c:v>19.54694617806847</c:v>
                </c:pt>
                <c:pt idx="20">
                  <c:v>20.565278710583229</c:v>
                </c:pt>
                <c:pt idx="21">
                  <c:v>21.623596863986755</c:v>
                </c:pt>
                <c:pt idx="22">
                  <c:v>22.721900638279042</c:v>
                </c:pt>
                <c:pt idx="23">
                  <c:v>23.8601900334601</c:v>
                </c:pt>
                <c:pt idx="24">
                  <c:v>25.038465049529925</c:v>
                </c:pt>
                <c:pt idx="25">
                  <c:v>26.256725686488508</c:v>
                </c:pt>
                <c:pt idx="26">
                  <c:v>27.514971944335858</c:v>
                </c:pt>
                <c:pt idx="27">
                  <c:v>28.813203823071973</c:v>
                </c:pt>
                <c:pt idx="28">
                  <c:v>30.151421322696855</c:v>
                </c:pt>
                <c:pt idx="29">
                  <c:v>31.529624443210501</c:v>
                </c:pt>
                <c:pt idx="30">
                  <c:v>32.947813184612912</c:v>
                </c:pt>
                <c:pt idx="31">
                  <c:v>34.405987546904086</c:v>
                </c:pt>
                <c:pt idx="32">
                  <c:v>35.904147530084032</c:v>
                </c:pt>
                <c:pt idx="33">
                  <c:v>37.442293134152735</c:v>
                </c:pt>
                <c:pt idx="34">
                  <c:v>39.020424359110208</c:v>
                </c:pt>
                <c:pt idx="35">
                  <c:v>40.638541204956447</c:v>
                </c:pt>
                <c:pt idx="36">
                  <c:v>42.296643671691456</c:v>
                </c:pt>
                <c:pt idx="37">
                  <c:v>43.994731759315215</c:v>
                </c:pt>
                <c:pt idx="38">
                  <c:v>45.732805467827745</c:v>
                </c:pt>
                <c:pt idx="39">
                  <c:v>47.510864797229047</c:v>
                </c:pt>
                <c:pt idx="40">
                  <c:v>49.328909747519106</c:v>
                </c:pt>
                <c:pt idx="41">
                  <c:v>51.186940318697928</c:v>
                </c:pt>
                <c:pt idx="42">
                  <c:v>53.084956510765508</c:v>
                </c:pt>
                <c:pt idx="43">
                  <c:v>55.022958323721852</c:v>
                </c:pt>
                <c:pt idx="44">
                  <c:v>57.000945757566967</c:v>
                </c:pt>
                <c:pt idx="45">
                  <c:v>59.018918812300839</c:v>
                </c:pt>
                <c:pt idx="46">
                  <c:v>61.07687748792349</c:v>
                </c:pt>
                <c:pt idx="47">
                  <c:v>63.174821784434897</c:v>
                </c:pt>
                <c:pt idx="48">
                  <c:v>65.312751701835055</c:v>
                </c:pt>
                <c:pt idx="49">
                  <c:v>67.490667240123997</c:v>
                </c:pt>
                <c:pt idx="50">
                  <c:v>69.708568399301711</c:v>
                </c:pt>
                <c:pt idx="51">
                  <c:v>71.966455179368168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D5E-4561-B792-401913D11507}"/>
            </c:ext>
          </c:extLst>
        </c:ser>
        <c:ser>
          <c:idx val="15"/>
          <c:order val="15"/>
          <c:spPr>
            <a:ln w="95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поверхность'!$B$19:$BA$19</c:f>
              <c:numCache>
                <c:formatCode>General</c:formatCode>
                <c:ptCount val="52"/>
                <c:pt idx="0">
                  <c:v>2.8000000000000003</c:v>
                </c:pt>
                <c:pt idx="1">
                  <c:v>8.6445491643610879</c:v>
                </c:pt>
                <c:pt idx="2">
                  <c:v>8.9612158118103977</c:v>
                </c:pt>
                <c:pt idx="3">
                  <c:v>9.3178680801484752</c:v>
                </c:pt>
                <c:pt idx="4">
                  <c:v>9.7145059693753133</c:v>
                </c:pt>
                <c:pt idx="5">
                  <c:v>10.151129479490923</c:v>
                </c:pt>
                <c:pt idx="6">
                  <c:v>10.627738610495291</c:v>
                </c:pt>
                <c:pt idx="7">
                  <c:v>11.144333362388425</c:v>
                </c:pt>
                <c:pt idx="8">
                  <c:v>11.700913735170325</c:v>
                </c:pt>
                <c:pt idx="9">
                  <c:v>12.297479728840992</c:v>
                </c:pt>
                <c:pt idx="10">
                  <c:v>12.93403134340042</c:v>
                </c:pt>
                <c:pt idx="11">
                  <c:v>13.610568578848618</c:v>
                </c:pt>
                <c:pt idx="12">
                  <c:v>14.327091435185578</c:v>
                </c:pt>
                <c:pt idx="13">
                  <c:v>15.083599912411302</c:v>
                </c:pt>
                <c:pt idx="14">
                  <c:v>15.880094010525792</c:v>
                </c:pt>
                <c:pt idx="15">
                  <c:v>16.716573729529049</c:v>
                </c:pt>
                <c:pt idx="16">
                  <c:v>17.593039069421067</c:v>
                </c:pt>
                <c:pt idx="17">
                  <c:v>18.509490030201853</c:v>
                </c:pt>
                <c:pt idx="18">
                  <c:v>19.465926611871406</c:v>
                </c:pt>
                <c:pt idx="19">
                  <c:v>20.462348814429724</c:v>
                </c:pt>
                <c:pt idx="20">
                  <c:v>21.498756637876802</c:v>
                </c:pt>
                <c:pt idx="21">
                  <c:v>22.575150082212648</c:v>
                </c:pt>
                <c:pt idx="22">
                  <c:v>23.691529147437258</c:v>
                </c:pt>
                <c:pt idx="23">
                  <c:v>24.847893833550636</c:v>
                </c:pt>
                <c:pt idx="24">
                  <c:v>26.044244140552774</c:v>
                </c:pt>
                <c:pt idx="25">
                  <c:v>27.280580068443683</c:v>
                </c:pt>
                <c:pt idx="26">
                  <c:v>28.556901617223353</c:v>
                </c:pt>
                <c:pt idx="27">
                  <c:v>29.873208786891791</c:v>
                </c:pt>
                <c:pt idx="28">
                  <c:v>31.229501577448993</c:v>
                </c:pt>
                <c:pt idx="29">
                  <c:v>32.625779988894955</c:v>
                </c:pt>
                <c:pt idx="30">
                  <c:v>34.062044021229688</c:v>
                </c:pt>
                <c:pt idx="31">
                  <c:v>35.538293674453186</c:v>
                </c:pt>
                <c:pt idx="32">
                  <c:v>37.054528948565448</c:v>
                </c:pt>
                <c:pt idx="33">
                  <c:v>38.610749843566467</c:v>
                </c:pt>
                <c:pt idx="34">
                  <c:v>40.206956359456271</c:v>
                </c:pt>
                <c:pt idx="35">
                  <c:v>41.843148496234818</c:v>
                </c:pt>
                <c:pt idx="36">
                  <c:v>43.519326253902136</c:v>
                </c:pt>
                <c:pt idx="37">
                  <c:v>45.235489632458226</c:v>
                </c:pt>
                <c:pt idx="38">
                  <c:v>46.991638631903079</c:v>
                </c:pt>
                <c:pt idx="39">
                  <c:v>48.787773252236697</c:v>
                </c:pt>
                <c:pt idx="40">
                  <c:v>50.623893493459079</c:v>
                </c:pt>
                <c:pt idx="41">
                  <c:v>52.49999935557021</c:v>
                </c:pt>
                <c:pt idx="42">
                  <c:v>54.416090838570121</c:v>
                </c:pt>
                <c:pt idx="43">
                  <c:v>56.372167942458788</c:v>
                </c:pt>
                <c:pt idx="44">
                  <c:v>58.368230667236219</c:v>
                </c:pt>
                <c:pt idx="45">
                  <c:v>60.404279012902414</c:v>
                </c:pt>
                <c:pt idx="46">
                  <c:v>62.480312979457381</c:v>
                </c:pt>
                <c:pt idx="47">
                  <c:v>64.596332566901097</c:v>
                </c:pt>
                <c:pt idx="48">
                  <c:v>66.752337775233599</c:v>
                </c:pt>
                <c:pt idx="49">
                  <c:v>68.948328604454844</c:v>
                </c:pt>
                <c:pt idx="50">
                  <c:v>71.184305054564874</c:v>
                </c:pt>
                <c:pt idx="51">
                  <c:v>73.460267125563661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D5E-4561-B792-401913D11507}"/>
            </c:ext>
          </c:extLst>
        </c:ser>
        <c:ser>
          <c:idx val="16"/>
          <c:order val="16"/>
          <c:spPr>
            <a:ln w="95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поверхность'!$B$20:$BA$20</c:f>
              <c:numCache>
                <c:formatCode>General</c:formatCode>
                <c:ptCount val="52"/>
                <c:pt idx="0">
                  <c:v>3.0000000000000004</c:v>
                </c:pt>
                <c:pt idx="1">
                  <c:v>9.2700581944736786</c:v>
                </c:pt>
                <c:pt idx="2">
                  <c:v>9.6048001328553099</c:v>
                </c:pt>
                <c:pt idx="3">
                  <c:v>9.9795276921257052</c:v>
                </c:pt>
                <c:pt idx="4">
                  <c:v>10.394240872284866</c:v>
                </c:pt>
                <c:pt idx="5">
                  <c:v>10.84893967333279</c:v>
                </c:pt>
                <c:pt idx="6">
                  <c:v>11.34362409526948</c:v>
                </c:pt>
                <c:pt idx="7">
                  <c:v>11.878294138094937</c:v>
                </c:pt>
                <c:pt idx="8">
                  <c:v>12.452949801809156</c:v>
                </c:pt>
                <c:pt idx="9">
                  <c:v>13.067591086412142</c:v>
                </c:pt>
                <c:pt idx="10">
                  <c:v>13.722217991903893</c:v>
                </c:pt>
                <c:pt idx="11">
                  <c:v>14.416830518284407</c:v>
                </c:pt>
                <c:pt idx="12">
                  <c:v>15.151428665553688</c:v>
                </c:pt>
                <c:pt idx="13">
                  <c:v>15.926012433711733</c:v>
                </c:pt>
                <c:pt idx="14">
                  <c:v>16.740581822758543</c:v>
                </c:pt>
                <c:pt idx="15">
                  <c:v>17.59513683269412</c:v>
                </c:pt>
                <c:pt idx="16">
                  <c:v>18.489677463518461</c:v>
                </c:pt>
                <c:pt idx="17">
                  <c:v>19.424203715231567</c:v>
                </c:pt>
                <c:pt idx="18">
                  <c:v>20.39871558783344</c:v>
                </c:pt>
                <c:pt idx="19">
                  <c:v>21.41321308132407</c:v>
                </c:pt>
                <c:pt idx="20">
                  <c:v>22.467696195703475</c:v>
                </c:pt>
                <c:pt idx="21">
                  <c:v>23.562164930971633</c:v>
                </c:pt>
                <c:pt idx="22">
                  <c:v>24.69661928712857</c:v>
                </c:pt>
                <c:pt idx="23">
                  <c:v>25.871059264174264</c:v>
                </c:pt>
                <c:pt idx="24">
                  <c:v>27.085484862108725</c:v>
                </c:pt>
                <c:pt idx="25">
                  <c:v>28.33989608093195</c:v>
                </c:pt>
                <c:pt idx="26">
                  <c:v>29.63429292064394</c:v>
                </c:pt>
                <c:pt idx="27">
                  <c:v>30.968675381244701</c:v>
                </c:pt>
                <c:pt idx="28">
                  <c:v>32.343043462734215</c:v>
                </c:pt>
                <c:pt idx="29">
                  <c:v>33.757397165112508</c:v>
                </c:pt>
                <c:pt idx="30">
                  <c:v>35.211736488379557</c:v>
                </c:pt>
                <c:pt idx="31">
                  <c:v>36.706061432535378</c:v>
                </c:pt>
                <c:pt idx="32">
                  <c:v>38.240371997579956</c:v>
                </c:pt>
                <c:pt idx="33">
                  <c:v>39.814668183513305</c:v>
                </c:pt>
                <c:pt idx="34">
                  <c:v>41.428949990335418</c:v>
                </c:pt>
                <c:pt idx="35">
                  <c:v>43.083217418046289</c:v>
                </c:pt>
                <c:pt idx="36">
                  <c:v>44.777470466645937</c:v>
                </c:pt>
                <c:pt idx="37">
                  <c:v>46.511709136134343</c:v>
                </c:pt>
                <c:pt idx="38">
                  <c:v>48.285933426511512</c:v>
                </c:pt>
                <c:pt idx="39">
                  <c:v>50.100143337777446</c:v>
                </c:pt>
                <c:pt idx="40">
                  <c:v>51.954338869932151</c:v>
                </c:pt>
                <c:pt idx="41">
                  <c:v>53.848520022975606</c:v>
                </c:pt>
                <c:pt idx="42">
                  <c:v>55.782686796907832</c:v>
                </c:pt>
                <c:pt idx="43">
                  <c:v>57.756839191728815</c:v>
                </c:pt>
                <c:pt idx="44">
                  <c:v>59.77097720743857</c:v>
                </c:pt>
                <c:pt idx="45">
                  <c:v>61.825100844037088</c:v>
                </c:pt>
                <c:pt idx="46">
                  <c:v>63.919210101524371</c:v>
                </c:pt>
                <c:pt idx="47">
                  <c:v>66.053304979900417</c:v>
                </c:pt>
                <c:pt idx="48">
                  <c:v>68.227385479165221</c:v>
                </c:pt>
                <c:pt idx="49">
                  <c:v>70.44145159931881</c:v>
                </c:pt>
                <c:pt idx="50">
                  <c:v>72.695503340361142</c:v>
                </c:pt>
                <c:pt idx="51">
                  <c:v>74.989540702292246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D5E-4561-B792-401913D11507}"/>
            </c:ext>
          </c:extLst>
        </c:ser>
        <c:ser>
          <c:idx val="17"/>
          <c:order val="17"/>
          <c:spPr>
            <a:ln w="95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val>
            <c:numRef>
              <c:f>'Нелинейная поверхность'!$B$21:$BA$21</c:f>
              <c:numCache>
                <c:formatCode>General</c:formatCode>
                <c:ptCount val="52"/>
                <c:pt idx="0">
                  <c:v>3.2000000000000006</c:v>
                </c:pt>
                <c:pt idx="1">
                  <c:v>9.9310288551193686</c:v>
                </c:pt>
                <c:pt idx="2">
                  <c:v>10.283846084433318</c:v>
                </c:pt>
                <c:pt idx="3">
                  <c:v>10.676648934636034</c:v>
                </c:pt>
                <c:pt idx="4">
                  <c:v>11.109437405727515</c:v>
                </c:pt>
                <c:pt idx="5">
                  <c:v>11.58221149770776</c:v>
                </c:pt>
                <c:pt idx="6">
                  <c:v>12.094971210576771</c:v>
                </c:pt>
                <c:pt idx="7">
                  <c:v>12.647716544334545</c:v>
                </c:pt>
                <c:pt idx="8">
                  <c:v>13.240447498981085</c:v>
                </c:pt>
                <c:pt idx="9">
                  <c:v>13.87316407451639</c:v>
                </c:pt>
                <c:pt idx="10">
                  <c:v>14.545866270940463</c:v>
                </c:pt>
                <c:pt idx="11">
                  <c:v>15.258554088253295</c:v>
                </c:pt>
                <c:pt idx="12">
                  <c:v>16.011227526454896</c:v>
                </c:pt>
                <c:pt idx="13">
                  <c:v>16.803886585545261</c:v>
                </c:pt>
                <c:pt idx="14">
                  <c:v>17.636531265524393</c:v>
                </c:pt>
                <c:pt idx="15">
                  <c:v>18.50916156639229</c:v>
                </c:pt>
                <c:pt idx="16">
                  <c:v>19.421777488148951</c:v>
                </c:pt>
                <c:pt idx="17">
                  <c:v>20.374379030794376</c:v>
                </c:pt>
                <c:pt idx="18">
                  <c:v>21.366966194328569</c:v>
                </c:pt>
                <c:pt idx="19">
                  <c:v>22.399538978751522</c:v>
                </c:pt>
                <c:pt idx="20">
                  <c:v>23.472097384063243</c:v>
                </c:pt>
                <c:pt idx="21">
                  <c:v>24.584641410263728</c:v>
                </c:pt>
                <c:pt idx="22">
                  <c:v>25.737171057352977</c:v>
                </c:pt>
                <c:pt idx="23">
                  <c:v>26.929686325330994</c:v>
                </c:pt>
                <c:pt idx="24">
                  <c:v>28.162187214197779</c:v>
                </c:pt>
                <c:pt idx="25">
                  <c:v>29.434673723953324</c:v>
                </c:pt>
                <c:pt idx="26">
                  <c:v>30.747145854597633</c:v>
                </c:pt>
                <c:pt idx="27">
                  <c:v>32.099603606130714</c:v>
                </c:pt>
                <c:pt idx="28">
                  <c:v>33.492046978552551</c:v>
                </c:pt>
                <c:pt idx="29">
                  <c:v>34.92447597186316</c:v>
                </c:pt>
                <c:pt idx="30">
                  <c:v>36.396890586062533</c:v>
                </c:pt>
                <c:pt idx="31">
                  <c:v>37.90929082115067</c:v>
                </c:pt>
                <c:pt idx="32">
                  <c:v>39.461676677127571</c:v>
                </c:pt>
                <c:pt idx="33">
                  <c:v>41.054048153993236</c:v>
                </c:pt>
                <c:pt idx="34">
                  <c:v>42.686405251747672</c:v>
                </c:pt>
                <c:pt idx="35">
                  <c:v>44.358747970390866</c:v>
                </c:pt>
                <c:pt idx="36">
                  <c:v>46.07107630992283</c:v>
                </c:pt>
                <c:pt idx="37">
                  <c:v>47.823390270343559</c:v>
                </c:pt>
                <c:pt idx="38">
                  <c:v>49.615689851653052</c:v>
                </c:pt>
                <c:pt idx="39">
                  <c:v>51.447975053851309</c:v>
                </c:pt>
                <c:pt idx="40">
                  <c:v>53.32024587693833</c:v>
                </c:pt>
                <c:pt idx="41">
                  <c:v>55.232502320914108</c:v>
                </c:pt>
                <c:pt idx="42">
                  <c:v>57.18474438577865</c:v>
                </c:pt>
                <c:pt idx="43">
                  <c:v>59.176972071531956</c:v>
                </c:pt>
                <c:pt idx="44">
                  <c:v>61.209185378174027</c:v>
                </c:pt>
                <c:pt idx="45">
                  <c:v>63.281384305704869</c:v>
                </c:pt>
                <c:pt idx="46">
                  <c:v>65.393568854124467</c:v>
                </c:pt>
                <c:pt idx="47">
                  <c:v>67.54573902343283</c:v>
                </c:pt>
                <c:pt idx="48">
                  <c:v>69.737894813629964</c:v>
                </c:pt>
                <c:pt idx="49">
                  <c:v>71.970036224715855</c:v>
                </c:pt>
                <c:pt idx="50">
                  <c:v>74.242163256690517</c:v>
                </c:pt>
                <c:pt idx="51">
                  <c:v>76.554275909553951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D5E-4561-B792-401913D11507}"/>
            </c:ext>
          </c:extLst>
        </c:ser>
        <c:ser>
          <c:idx val="18"/>
          <c:order val="18"/>
          <c:spPr>
            <a:ln w="95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поверхность'!$B$22:$BA$22</c:f>
              <c:numCache>
                <c:formatCode>General</c:formatCode>
                <c:ptCount val="52"/>
                <c:pt idx="0">
                  <c:v>3.4000000000000008</c:v>
                </c:pt>
                <c:pt idx="1">
                  <c:v>10.62746114629816</c:v>
                </c:pt>
                <c:pt idx="2">
                  <c:v>10.998353666544428</c:v>
                </c:pt>
                <c:pt idx="3">
                  <c:v>11.409231807679465</c:v>
                </c:pt>
                <c:pt idx="4">
                  <c:v>11.860095569703265</c:v>
                </c:pt>
                <c:pt idx="5">
                  <c:v>12.35094495261583</c:v>
                </c:pt>
                <c:pt idx="6">
                  <c:v>12.881779956417162</c:v>
                </c:pt>
                <c:pt idx="7">
                  <c:v>13.452600581107257</c:v>
                </c:pt>
                <c:pt idx="8">
                  <c:v>14.063406826686117</c:v>
                </c:pt>
                <c:pt idx="9">
                  <c:v>14.714198693153744</c:v>
                </c:pt>
                <c:pt idx="10">
                  <c:v>15.404976180510133</c:v>
                </c:pt>
                <c:pt idx="11">
                  <c:v>16.135739288755289</c:v>
                </c:pt>
                <c:pt idx="12">
                  <c:v>16.90648801788921</c:v>
                </c:pt>
                <c:pt idx="13">
                  <c:v>17.717222367911894</c:v>
                </c:pt>
                <c:pt idx="14">
                  <c:v>18.567942338823347</c:v>
                </c:pt>
                <c:pt idx="15">
                  <c:v>19.458647930623563</c:v>
                </c:pt>
                <c:pt idx="16">
                  <c:v>20.38933914331254</c:v>
                </c:pt>
                <c:pt idx="17">
                  <c:v>21.360015976890285</c:v>
                </c:pt>
                <c:pt idx="18">
                  <c:v>22.370678431356801</c:v>
                </c:pt>
                <c:pt idx="19">
                  <c:v>23.421326506712077</c:v>
                </c:pt>
                <c:pt idx="20">
                  <c:v>24.511960202956121</c:v>
                </c:pt>
                <c:pt idx="21">
                  <c:v>25.642579520088923</c:v>
                </c:pt>
                <c:pt idx="22">
                  <c:v>26.813184458110495</c:v>
                </c:pt>
                <c:pt idx="23">
                  <c:v>28.023775017020832</c:v>
                </c:pt>
                <c:pt idx="24">
                  <c:v>29.274351196819932</c:v>
                </c:pt>
                <c:pt idx="25">
                  <c:v>30.564912997507797</c:v>
                </c:pt>
                <c:pt idx="26">
                  <c:v>31.895460419084426</c:v>
                </c:pt>
                <c:pt idx="27">
                  <c:v>33.265993461549826</c:v>
                </c:pt>
                <c:pt idx="28">
                  <c:v>34.676512124903986</c:v>
                </c:pt>
                <c:pt idx="29">
                  <c:v>36.127016409146918</c:v>
                </c:pt>
                <c:pt idx="30">
                  <c:v>37.617506314278607</c:v>
                </c:pt>
                <c:pt idx="31">
                  <c:v>39.147981840299053</c:v>
                </c:pt>
                <c:pt idx="32">
                  <c:v>40.718442987208277</c:v>
                </c:pt>
                <c:pt idx="33">
                  <c:v>42.328889755006273</c:v>
                </c:pt>
                <c:pt idx="34">
                  <c:v>43.979322143693018</c:v>
                </c:pt>
                <c:pt idx="35">
                  <c:v>45.669740153268542</c:v>
                </c:pt>
                <c:pt idx="36">
                  <c:v>47.400143783732815</c:v>
                </c:pt>
                <c:pt idx="37">
                  <c:v>49.170533035085867</c:v>
                </c:pt>
                <c:pt idx="38">
                  <c:v>50.980907907327676</c:v>
                </c:pt>
                <c:pt idx="39">
                  <c:v>52.831268400458256</c:v>
                </c:pt>
                <c:pt idx="40">
                  <c:v>54.721614514477601</c:v>
                </c:pt>
                <c:pt idx="41">
                  <c:v>56.651946249385695</c:v>
                </c:pt>
                <c:pt idx="42">
                  <c:v>58.622263605182567</c:v>
                </c:pt>
                <c:pt idx="43">
                  <c:v>60.632566581868183</c:v>
                </c:pt>
                <c:pt idx="44">
                  <c:v>62.682855179442576</c:v>
                </c:pt>
                <c:pt idx="45">
                  <c:v>64.773129397905734</c:v>
                </c:pt>
                <c:pt idx="46">
                  <c:v>66.903389237257656</c:v>
                </c:pt>
                <c:pt idx="47">
                  <c:v>69.073634697498349</c:v>
                </c:pt>
                <c:pt idx="48">
                  <c:v>71.283865778627799</c:v>
                </c:pt>
                <c:pt idx="49">
                  <c:v>73.534082480646006</c:v>
                </c:pt>
                <c:pt idx="50">
                  <c:v>75.824284803552999</c:v>
                </c:pt>
                <c:pt idx="51">
                  <c:v>78.154472747348734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D5E-4561-B792-401913D11507}"/>
            </c:ext>
          </c:extLst>
        </c:ser>
        <c:ser>
          <c:idx val="19"/>
          <c:order val="19"/>
          <c:spPr>
            <a:ln w="952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поверхность'!$B$23:$BA$23</c:f>
              <c:numCache>
                <c:formatCode>General</c:formatCode>
                <c:ptCount val="52"/>
                <c:pt idx="0">
                  <c:v>3.600000000000001</c:v>
                </c:pt>
                <c:pt idx="1">
                  <c:v>11.35935506801005</c:v>
                </c:pt>
                <c:pt idx="2">
                  <c:v>11.748322879188638</c:v>
                </c:pt>
                <c:pt idx="3">
                  <c:v>12.177276311255996</c:v>
                </c:pt>
                <c:pt idx="4">
                  <c:v>12.646215364212116</c:v>
                </c:pt>
                <c:pt idx="5">
                  <c:v>13.155140038057002</c:v>
                </c:pt>
                <c:pt idx="6">
                  <c:v>13.704050332790652</c:v>
                </c:pt>
                <c:pt idx="7">
                  <c:v>14.292946248413067</c:v>
                </c:pt>
                <c:pt idx="8">
                  <c:v>14.921827784924247</c:v>
                </c:pt>
                <c:pt idx="9">
                  <c:v>15.590694942324193</c:v>
                </c:pt>
                <c:pt idx="10">
                  <c:v>16.299547720612907</c:v>
                </c:pt>
                <c:pt idx="11">
                  <c:v>17.048386119790379</c:v>
                </c:pt>
                <c:pt idx="12">
                  <c:v>17.837210139856619</c:v>
                </c:pt>
                <c:pt idx="13">
                  <c:v>18.666019780811624</c:v>
                </c:pt>
                <c:pt idx="14">
                  <c:v>19.534815042655396</c:v>
                </c:pt>
                <c:pt idx="15">
                  <c:v>20.443595925387935</c:v>
                </c:pt>
                <c:pt idx="16">
                  <c:v>21.392362429009236</c:v>
                </c:pt>
                <c:pt idx="17">
                  <c:v>22.3811145535193</c:v>
                </c:pt>
                <c:pt idx="18">
                  <c:v>23.409852298918132</c:v>
                </c:pt>
                <c:pt idx="19">
                  <c:v>24.478575665205728</c:v>
                </c:pt>
                <c:pt idx="20">
                  <c:v>25.587284652382088</c:v>
                </c:pt>
                <c:pt idx="21">
                  <c:v>26.735979260447213</c:v>
                </c:pt>
                <c:pt idx="22">
                  <c:v>27.924659489401101</c:v>
                </c:pt>
                <c:pt idx="23">
                  <c:v>29.153325339243761</c:v>
                </c:pt>
                <c:pt idx="24">
                  <c:v>30.421976809975185</c:v>
                </c:pt>
                <c:pt idx="25">
                  <c:v>31.730613901595369</c:v>
                </c:pt>
                <c:pt idx="26">
                  <c:v>33.079236614104325</c:v>
                </c:pt>
                <c:pt idx="27">
                  <c:v>34.467844947502037</c:v>
                </c:pt>
                <c:pt idx="28">
                  <c:v>35.896438901788514</c:v>
                </c:pt>
                <c:pt idx="29">
                  <c:v>37.365018476963769</c:v>
                </c:pt>
                <c:pt idx="30">
                  <c:v>38.873583673027774</c:v>
                </c:pt>
                <c:pt idx="31">
                  <c:v>40.42213448998055</c:v>
                </c:pt>
                <c:pt idx="32">
                  <c:v>42.01067092782209</c:v>
                </c:pt>
                <c:pt idx="33">
                  <c:v>43.639192986552402</c:v>
                </c:pt>
                <c:pt idx="34">
                  <c:v>45.307700666171478</c:v>
                </c:pt>
                <c:pt idx="35">
                  <c:v>47.01619396667931</c:v>
                </c:pt>
                <c:pt idx="36">
                  <c:v>48.764672888075914</c:v>
                </c:pt>
                <c:pt idx="37">
                  <c:v>50.553137430361282</c:v>
                </c:pt>
                <c:pt idx="38">
                  <c:v>52.381587593535414</c:v>
                </c:pt>
                <c:pt idx="39">
                  <c:v>54.250023377598311</c:v>
                </c:pt>
                <c:pt idx="40">
                  <c:v>56.158444782549978</c:v>
                </c:pt>
                <c:pt idx="41">
                  <c:v>58.106851808390388</c:v>
                </c:pt>
                <c:pt idx="42">
                  <c:v>60.09524445511957</c:v>
                </c:pt>
                <c:pt idx="43">
                  <c:v>62.123622722737522</c:v>
                </c:pt>
                <c:pt idx="44">
                  <c:v>64.191986611244232</c:v>
                </c:pt>
                <c:pt idx="45">
                  <c:v>66.300336120639713</c:v>
                </c:pt>
                <c:pt idx="46">
                  <c:v>68.448671250923951</c:v>
                </c:pt>
                <c:pt idx="47">
                  <c:v>70.63699200209696</c:v>
                </c:pt>
                <c:pt idx="48">
                  <c:v>72.865298374158726</c:v>
                </c:pt>
                <c:pt idx="49">
                  <c:v>75.133590367109264</c:v>
                </c:pt>
                <c:pt idx="50">
                  <c:v>77.441867980948572</c:v>
                </c:pt>
                <c:pt idx="51">
                  <c:v>79.790131215676624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D5E-4561-B792-401913D11507}"/>
            </c:ext>
          </c:extLst>
        </c:ser>
        <c:ser>
          <c:idx val="20"/>
          <c:order val="20"/>
          <c:spPr>
            <a:ln w="952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поверхность'!$B$24:$BA$24</c:f>
              <c:numCache>
                <c:formatCode>General</c:formatCode>
                <c:ptCount val="52"/>
                <c:pt idx="0">
                  <c:v>3.8000000000000012</c:v>
                </c:pt>
                <c:pt idx="1">
                  <c:v>12.126710620255039</c:v>
                </c:pt>
                <c:pt idx="2">
                  <c:v>12.533753722365949</c:v>
                </c:pt>
                <c:pt idx="3">
                  <c:v>12.980782445365625</c:v>
                </c:pt>
                <c:pt idx="4">
                  <c:v>13.467796789254066</c:v>
                </c:pt>
                <c:pt idx="5">
                  <c:v>13.99479675403127</c:v>
                </c:pt>
                <c:pt idx="6">
                  <c:v>14.561782339697244</c:v>
                </c:pt>
                <c:pt idx="7">
                  <c:v>15.168753546251978</c:v>
                </c:pt>
                <c:pt idx="8">
                  <c:v>15.815710373695477</c:v>
                </c:pt>
                <c:pt idx="9">
                  <c:v>16.502652822027741</c:v>
                </c:pt>
                <c:pt idx="10">
                  <c:v>17.229580891248776</c:v>
                </c:pt>
                <c:pt idx="11">
                  <c:v>17.996494581358569</c:v>
                </c:pt>
                <c:pt idx="12">
                  <c:v>18.803393892357128</c:v>
                </c:pt>
                <c:pt idx="13">
                  <c:v>19.650278824244456</c:v>
                </c:pt>
                <c:pt idx="14">
                  <c:v>20.537149377020548</c:v>
                </c:pt>
                <c:pt idx="15">
                  <c:v>21.4640055506854</c:v>
                </c:pt>
                <c:pt idx="16">
                  <c:v>22.430847345239027</c:v>
                </c:pt>
                <c:pt idx="17">
                  <c:v>23.437674760681411</c:v>
                </c:pt>
                <c:pt idx="18">
                  <c:v>24.484487797012566</c:v>
                </c:pt>
                <c:pt idx="19">
                  <c:v>25.571286454232478</c:v>
                </c:pt>
                <c:pt idx="20">
                  <c:v>26.698070732341158</c:v>
                </c:pt>
                <c:pt idx="21">
                  <c:v>27.864840631338605</c:v>
                </c:pt>
                <c:pt idx="22">
                  <c:v>29.071596151224814</c:v>
                </c:pt>
                <c:pt idx="23">
                  <c:v>30.318337291999789</c:v>
                </c:pt>
                <c:pt idx="24">
                  <c:v>31.605064053663533</c:v>
                </c:pt>
                <c:pt idx="25">
                  <c:v>32.93177643621604</c:v>
                </c:pt>
                <c:pt idx="26">
                  <c:v>34.298474439657312</c:v>
                </c:pt>
                <c:pt idx="27">
                  <c:v>35.705158063987348</c:v>
                </c:pt>
                <c:pt idx="28">
                  <c:v>37.151827309206148</c:v>
                </c:pt>
                <c:pt idx="29">
                  <c:v>38.638482175313712</c:v>
                </c:pt>
                <c:pt idx="30">
                  <c:v>40.165122662310047</c:v>
                </c:pt>
                <c:pt idx="31">
                  <c:v>41.731748770195146</c:v>
                </c:pt>
                <c:pt idx="32">
                  <c:v>43.33836049896901</c:v>
                </c:pt>
                <c:pt idx="33">
                  <c:v>44.984957848631637</c:v>
                </c:pt>
                <c:pt idx="34">
                  <c:v>46.671540819183036</c:v>
                </c:pt>
                <c:pt idx="35">
                  <c:v>48.398109410623185</c:v>
                </c:pt>
                <c:pt idx="36">
                  <c:v>50.164663622952112</c:v>
                </c:pt>
                <c:pt idx="37">
                  <c:v>51.971203456169803</c:v>
                </c:pt>
                <c:pt idx="38">
                  <c:v>53.817728910276244</c:v>
                </c:pt>
                <c:pt idx="39">
                  <c:v>55.704239985271464</c:v>
                </c:pt>
                <c:pt idx="40">
                  <c:v>57.630736681155454</c:v>
                </c:pt>
                <c:pt idx="41">
                  <c:v>59.597218997928181</c:v>
                </c:pt>
                <c:pt idx="42">
                  <c:v>61.603686935589693</c:v>
                </c:pt>
                <c:pt idx="43">
                  <c:v>63.650140494139954</c:v>
                </c:pt>
                <c:pt idx="44">
                  <c:v>65.736579673578987</c:v>
                </c:pt>
                <c:pt idx="45">
                  <c:v>67.863004473906784</c:v>
                </c:pt>
                <c:pt idx="46">
                  <c:v>70.029414895123352</c:v>
                </c:pt>
                <c:pt idx="47">
                  <c:v>72.235810937228678</c:v>
                </c:pt>
                <c:pt idx="48">
                  <c:v>74.48219260022276</c:v>
                </c:pt>
                <c:pt idx="49">
                  <c:v>76.768559884105628</c:v>
                </c:pt>
                <c:pt idx="50">
                  <c:v>79.094912788877238</c:v>
                </c:pt>
                <c:pt idx="51">
                  <c:v>81.46125131453762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D5E-4561-B792-401913D11507}"/>
            </c:ext>
          </c:extLst>
        </c:ser>
        <c:ser>
          <c:idx val="21"/>
          <c:order val="21"/>
          <c:spPr>
            <a:ln w="952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поверхность'!$B$25:$BA$25</c:f>
              <c:numCache>
                <c:formatCode>General</c:formatCode>
                <c:ptCount val="52"/>
                <c:pt idx="0">
                  <c:v>4.0000000000000009</c:v>
                </c:pt>
                <c:pt idx="1">
                  <c:v>12.929527803033128</c:v>
                </c:pt>
                <c:pt idx="2">
                  <c:v>13.354646196076359</c:v>
                </c:pt>
                <c:pt idx="3">
                  <c:v>13.819750210008356</c:v>
                </c:pt>
                <c:pt idx="4">
                  <c:v>14.324839844829116</c:v>
                </c:pt>
                <c:pt idx="5">
                  <c:v>14.869915100538641</c:v>
                </c:pt>
                <c:pt idx="6">
                  <c:v>15.454975977136932</c:v>
                </c:pt>
                <c:pt idx="7">
                  <c:v>16.080022474623988</c:v>
                </c:pt>
                <c:pt idx="8">
                  <c:v>16.745054592999807</c:v>
                </c:pt>
                <c:pt idx="9">
                  <c:v>17.450072332264394</c:v>
                </c:pt>
                <c:pt idx="10">
                  <c:v>18.195075692417745</c:v>
                </c:pt>
                <c:pt idx="11">
                  <c:v>18.980064673459861</c:v>
                </c:pt>
                <c:pt idx="12">
                  <c:v>19.80503927539074</c:v>
                </c:pt>
                <c:pt idx="13">
                  <c:v>20.669999498210387</c:v>
                </c:pt>
                <c:pt idx="14">
                  <c:v>21.574945341918799</c:v>
                </c:pt>
                <c:pt idx="15">
                  <c:v>22.519876806515974</c:v>
                </c:pt>
                <c:pt idx="16">
                  <c:v>23.504793892001913</c:v>
                </c:pt>
                <c:pt idx="17">
                  <c:v>24.529696598376621</c:v>
                </c:pt>
                <c:pt idx="18">
                  <c:v>25.594584925640095</c:v>
                </c:pt>
                <c:pt idx="19">
                  <c:v>26.699458873792327</c:v>
                </c:pt>
                <c:pt idx="20">
                  <c:v>27.84431844283333</c:v>
                </c:pt>
                <c:pt idx="21">
                  <c:v>29.029163632763098</c:v>
                </c:pt>
                <c:pt idx="22">
                  <c:v>30.253994443581625</c:v>
                </c:pt>
                <c:pt idx="23">
                  <c:v>31.518810875288924</c:v>
                </c:pt>
                <c:pt idx="24">
                  <c:v>32.823612927884987</c:v>
                </c:pt>
                <c:pt idx="25">
                  <c:v>34.168400601369811</c:v>
                </c:pt>
                <c:pt idx="26">
                  <c:v>35.553173895743399</c:v>
                </c:pt>
                <c:pt idx="27">
                  <c:v>36.977932811005758</c:v>
                </c:pt>
                <c:pt idx="28">
                  <c:v>38.442677347156881</c:v>
                </c:pt>
                <c:pt idx="29">
                  <c:v>39.947407504196768</c:v>
                </c:pt>
                <c:pt idx="30">
                  <c:v>41.492123282125419</c:v>
                </c:pt>
                <c:pt idx="31">
                  <c:v>43.076824680942835</c:v>
                </c:pt>
                <c:pt idx="32">
                  <c:v>44.701511700649021</c:v>
                </c:pt>
                <c:pt idx="33">
                  <c:v>46.366184341243965</c:v>
                </c:pt>
                <c:pt idx="34">
                  <c:v>48.07084260272768</c:v>
                </c:pt>
                <c:pt idx="35">
                  <c:v>49.815486485100152</c:v>
                </c:pt>
                <c:pt idx="36">
                  <c:v>51.600115988361395</c:v>
                </c:pt>
                <c:pt idx="37">
                  <c:v>53.424731112511402</c:v>
                </c:pt>
                <c:pt idx="38">
                  <c:v>55.289331857550181</c:v>
                </c:pt>
                <c:pt idx="39">
                  <c:v>57.193918223477716</c:v>
                </c:pt>
                <c:pt idx="40">
                  <c:v>59.138490210294009</c:v>
                </c:pt>
                <c:pt idx="41">
                  <c:v>61.12304781799908</c:v>
                </c:pt>
                <c:pt idx="42">
                  <c:v>63.147591046592893</c:v>
                </c:pt>
                <c:pt idx="43">
                  <c:v>65.212119896075492</c:v>
                </c:pt>
                <c:pt idx="44">
                  <c:v>67.316634366446834</c:v>
                </c:pt>
                <c:pt idx="45">
                  <c:v>69.461134457706962</c:v>
                </c:pt>
                <c:pt idx="46">
                  <c:v>71.645620169855832</c:v>
                </c:pt>
                <c:pt idx="47">
                  <c:v>73.870091502893487</c:v>
                </c:pt>
                <c:pt idx="48">
                  <c:v>76.134548456819886</c:v>
                </c:pt>
                <c:pt idx="49">
                  <c:v>78.438991031635069</c:v>
                </c:pt>
                <c:pt idx="50">
                  <c:v>80.78341922733901</c:v>
                </c:pt>
                <c:pt idx="51">
                  <c:v>83.167833043931722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D5E-4561-B792-401913D11507}"/>
            </c:ext>
          </c:extLst>
        </c:ser>
        <c:ser>
          <c:idx val="22"/>
          <c:order val="22"/>
          <c:spPr>
            <a:ln w="95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поверхность'!$B$26:$BA$26</c:f>
              <c:numCache>
                <c:formatCode>General</c:formatCode>
                <c:ptCount val="52"/>
                <c:pt idx="0">
                  <c:v>4.2000000000000011</c:v>
                </c:pt>
                <c:pt idx="1">
                  <c:v>13.76780661634432</c:v>
                </c:pt>
                <c:pt idx="2">
                  <c:v>14.211000300319869</c:v>
                </c:pt>
                <c:pt idx="3">
                  <c:v>14.694179605184186</c:v>
                </c:pt>
                <c:pt idx="4">
                  <c:v>15.217344530937266</c:v>
                </c:pt>
                <c:pt idx="5">
                  <c:v>15.780495077579111</c:v>
                </c:pt>
                <c:pt idx="6">
                  <c:v>16.383631245109722</c:v>
                </c:pt>
                <c:pt idx="7">
                  <c:v>17.026753033529097</c:v>
                </c:pt>
                <c:pt idx="8">
                  <c:v>17.70986044283724</c:v>
                </c:pt>
                <c:pt idx="9">
                  <c:v>18.432953473034143</c:v>
                </c:pt>
                <c:pt idx="10">
                  <c:v>19.196032124119814</c:v>
                </c:pt>
                <c:pt idx="11">
                  <c:v>19.999096396094249</c:v>
                </c:pt>
                <c:pt idx="12">
                  <c:v>20.842146288957451</c:v>
                </c:pt>
                <c:pt idx="13">
                  <c:v>21.725181802709415</c:v>
                </c:pt>
                <c:pt idx="14">
                  <c:v>22.648202937350149</c:v>
                </c:pt>
                <c:pt idx="15">
                  <c:v>23.611209692879648</c:v>
                </c:pt>
                <c:pt idx="16">
                  <c:v>24.61420206929791</c:v>
                </c:pt>
                <c:pt idx="17">
                  <c:v>25.657180066604933</c:v>
                </c:pt>
                <c:pt idx="18">
                  <c:v>26.740143684800724</c:v>
                </c:pt>
                <c:pt idx="19">
                  <c:v>27.863092923885283</c:v>
                </c:pt>
                <c:pt idx="20">
                  <c:v>29.026027783858602</c:v>
                </c:pt>
                <c:pt idx="21">
                  <c:v>30.228948264720685</c:v>
                </c:pt>
                <c:pt idx="22">
                  <c:v>31.471854366471536</c:v>
                </c:pt>
                <c:pt idx="23">
                  <c:v>32.754746089111151</c:v>
                </c:pt>
                <c:pt idx="24">
                  <c:v>34.077623432639541</c:v>
                </c:pt>
                <c:pt idx="25">
                  <c:v>35.440486397056688</c:v>
                </c:pt>
                <c:pt idx="26">
                  <c:v>36.843334982362592</c:v>
                </c:pt>
                <c:pt idx="27">
                  <c:v>38.286169188557274</c:v>
                </c:pt>
                <c:pt idx="28">
                  <c:v>39.768989015640713</c:v>
                </c:pt>
                <c:pt idx="29">
                  <c:v>41.291794463612923</c:v>
                </c:pt>
                <c:pt idx="30">
                  <c:v>42.854585532473891</c:v>
                </c:pt>
                <c:pt idx="31">
                  <c:v>44.45736222222363</c:v>
                </c:pt>
                <c:pt idx="32">
                  <c:v>46.100124532862132</c:v>
                </c:pt>
                <c:pt idx="33">
                  <c:v>47.782872464389399</c:v>
                </c:pt>
                <c:pt idx="34">
                  <c:v>49.50560601680543</c:v>
                </c:pt>
                <c:pt idx="35">
                  <c:v>51.268325190110225</c:v>
                </c:pt>
                <c:pt idx="36">
                  <c:v>53.071029984303784</c:v>
                </c:pt>
                <c:pt idx="37">
                  <c:v>54.913720399386115</c:v>
                </c:pt>
                <c:pt idx="38">
                  <c:v>56.796396435357217</c:v>
                </c:pt>
                <c:pt idx="39">
                  <c:v>58.719058092217068</c:v>
                </c:pt>
                <c:pt idx="40">
                  <c:v>60.681705369965684</c:v>
                </c:pt>
                <c:pt idx="41">
                  <c:v>62.684338268603071</c:v>
                </c:pt>
                <c:pt idx="42">
                  <c:v>64.726956788129215</c:v>
                </c:pt>
                <c:pt idx="43">
                  <c:v>66.80956092854413</c:v>
                </c:pt>
                <c:pt idx="44">
                  <c:v>68.932150689847788</c:v>
                </c:pt>
                <c:pt idx="45">
                  <c:v>71.094726072040231</c:v>
                </c:pt>
                <c:pt idx="46">
                  <c:v>73.297287075121432</c:v>
                </c:pt>
                <c:pt idx="47">
                  <c:v>75.539833699091403</c:v>
                </c:pt>
                <c:pt idx="48">
                  <c:v>77.822365943950132</c:v>
                </c:pt>
                <c:pt idx="49">
                  <c:v>80.144883809697617</c:v>
                </c:pt>
                <c:pt idx="50">
                  <c:v>82.507387296333889</c:v>
                </c:pt>
                <c:pt idx="51">
                  <c:v>84.909876403858917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D5E-4561-B792-401913D11507}"/>
            </c:ext>
          </c:extLst>
        </c:ser>
        <c:ser>
          <c:idx val="23"/>
          <c:order val="23"/>
          <c:spPr>
            <a:ln w="952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val>
            <c:numRef>
              <c:f>'Нелинейная поверхность'!$B$27:$BA$27</c:f>
              <c:numCache>
                <c:formatCode>General</c:formatCode>
                <c:ptCount val="52"/>
                <c:pt idx="0">
                  <c:v>4.4000000000000012</c:v>
                </c:pt>
                <c:pt idx="1">
                  <c:v>14.641547060188611</c:v>
                </c:pt>
                <c:pt idx="2">
                  <c:v>15.102816035096479</c:v>
                </c:pt>
                <c:pt idx="3">
                  <c:v>15.604070630893117</c:v>
                </c:pt>
                <c:pt idx="4">
                  <c:v>16.145310847578518</c:v>
                </c:pt>
                <c:pt idx="5">
                  <c:v>16.726536685152684</c:v>
                </c:pt>
                <c:pt idx="6">
                  <c:v>17.347748143615615</c:v>
                </c:pt>
                <c:pt idx="7">
                  <c:v>18.008945222967309</c:v>
                </c:pt>
                <c:pt idx="8">
                  <c:v>18.710127923207772</c:v>
                </c:pt>
                <c:pt idx="9">
                  <c:v>19.451296244336998</c:v>
                </c:pt>
                <c:pt idx="10">
                  <c:v>20.232450186354988</c:v>
                </c:pt>
                <c:pt idx="11">
                  <c:v>21.053589749261743</c:v>
                </c:pt>
                <c:pt idx="12">
                  <c:v>21.914714933057265</c:v>
                </c:pt>
                <c:pt idx="13">
                  <c:v>22.815825737741548</c:v>
                </c:pt>
                <c:pt idx="14">
                  <c:v>23.756922163314602</c:v>
                </c:pt>
                <c:pt idx="15">
                  <c:v>24.73800420977642</c:v>
                </c:pt>
                <c:pt idx="16">
                  <c:v>25.759071877126999</c:v>
                </c:pt>
                <c:pt idx="17">
                  <c:v>26.820125165366345</c:v>
                </c:pt>
                <c:pt idx="18">
                  <c:v>27.921164074494456</c:v>
                </c:pt>
                <c:pt idx="19">
                  <c:v>29.062188604511338</c:v>
                </c:pt>
                <c:pt idx="20">
                  <c:v>30.243198755416977</c:v>
                </c:pt>
                <c:pt idx="21">
                  <c:v>31.464194527211379</c:v>
                </c:pt>
                <c:pt idx="22">
                  <c:v>32.725175919894554</c:v>
                </c:pt>
                <c:pt idx="23">
                  <c:v>34.026142933466488</c:v>
                </c:pt>
                <c:pt idx="24">
                  <c:v>35.367095567927194</c:v>
                </c:pt>
                <c:pt idx="25">
                  <c:v>36.748033823276657</c:v>
                </c:pt>
                <c:pt idx="26">
                  <c:v>38.168957699514891</c:v>
                </c:pt>
                <c:pt idx="27">
                  <c:v>39.629867196641882</c:v>
                </c:pt>
                <c:pt idx="28">
                  <c:v>41.130762314657652</c:v>
                </c:pt>
                <c:pt idx="29">
                  <c:v>42.671643053562171</c:v>
                </c:pt>
                <c:pt idx="30">
                  <c:v>44.252509413355469</c:v>
                </c:pt>
                <c:pt idx="31">
                  <c:v>45.873361394037524</c:v>
                </c:pt>
                <c:pt idx="32">
                  <c:v>47.534198995608342</c:v>
                </c:pt>
                <c:pt idx="33">
                  <c:v>49.235022218067932</c:v>
                </c:pt>
                <c:pt idx="34">
                  <c:v>50.975831061416287</c:v>
                </c:pt>
                <c:pt idx="35">
                  <c:v>52.756625525653405</c:v>
                </c:pt>
                <c:pt idx="36">
                  <c:v>54.577405610779287</c:v>
                </c:pt>
                <c:pt idx="37">
                  <c:v>56.438171316793934</c:v>
                </c:pt>
                <c:pt idx="38">
                  <c:v>58.338922643697344</c:v>
                </c:pt>
                <c:pt idx="39">
                  <c:v>60.279659591489526</c:v>
                </c:pt>
                <c:pt idx="40">
                  <c:v>62.260382160170465</c:v>
                </c:pt>
                <c:pt idx="41">
                  <c:v>64.281090349740168</c:v>
                </c:pt>
                <c:pt idx="42">
                  <c:v>66.341784160198628</c:v>
                </c:pt>
                <c:pt idx="43">
                  <c:v>68.442463591545845</c:v>
                </c:pt>
                <c:pt idx="44">
                  <c:v>70.583128643781848</c:v>
                </c:pt>
                <c:pt idx="45">
                  <c:v>72.763779316906607</c:v>
                </c:pt>
                <c:pt idx="46">
                  <c:v>74.984415610920124</c:v>
                </c:pt>
                <c:pt idx="47">
                  <c:v>77.245037525822411</c:v>
                </c:pt>
                <c:pt idx="48">
                  <c:v>79.54564506161347</c:v>
                </c:pt>
                <c:pt idx="49">
                  <c:v>81.886238218293272</c:v>
                </c:pt>
                <c:pt idx="50">
                  <c:v>84.266816995861859</c:v>
                </c:pt>
                <c:pt idx="51">
                  <c:v>86.687381394319203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D5E-4561-B792-401913D11507}"/>
            </c:ext>
          </c:extLst>
        </c:ser>
        <c:ser>
          <c:idx val="24"/>
          <c:order val="24"/>
          <c:spPr>
            <a:ln w="95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поверхность'!$B$28:$BA$28</c:f>
              <c:numCache>
                <c:formatCode>General</c:formatCode>
                <c:ptCount val="52"/>
                <c:pt idx="0">
                  <c:v>4.6000000000000014</c:v>
                </c:pt>
                <c:pt idx="1">
                  <c:v>15.550749134566002</c:v>
                </c:pt>
                <c:pt idx="2">
                  <c:v>16.030093400406194</c:v>
                </c:pt>
                <c:pt idx="3">
                  <c:v>16.549423287135152</c:v>
                </c:pt>
                <c:pt idx="4">
                  <c:v>17.10873879475287</c:v>
                </c:pt>
                <c:pt idx="5">
                  <c:v>17.708039923259356</c:v>
                </c:pt>
                <c:pt idx="6">
                  <c:v>18.347326672654606</c:v>
                </c:pt>
                <c:pt idx="7">
                  <c:v>19.026599042938624</c:v>
                </c:pt>
                <c:pt idx="8">
                  <c:v>19.745857034111403</c:v>
                </c:pt>
                <c:pt idx="9">
                  <c:v>20.505100646172949</c:v>
                </c:pt>
                <c:pt idx="10">
                  <c:v>21.304329879123259</c:v>
                </c:pt>
                <c:pt idx="11">
                  <c:v>22.143544732962336</c:v>
                </c:pt>
                <c:pt idx="12">
                  <c:v>23.022745207690178</c:v>
                </c:pt>
                <c:pt idx="13">
                  <c:v>23.941931303306781</c:v>
                </c:pt>
                <c:pt idx="14">
                  <c:v>24.901103019812155</c:v>
                </c:pt>
                <c:pt idx="15">
                  <c:v>25.900260357206289</c:v>
                </c:pt>
                <c:pt idx="16">
                  <c:v>26.939403315489191</c:v>
                </c:pt>
                <c:pt idx="17">
                  <c:v>28.018531894660857</c:v>
                </c:pt>
                <c:pt idx="18">
                  <c:v>29.137646094721294</c:v>
                </c:pt>
                <c:pt idx="19">
                  <c:v>30.296745915670488</c:v>
                </c:pt>
                <c:pt idx="20">
                  <c:v>31.49583135750845</c:v>
                </c:pt>
                <c:pt idx="21">
                  <c:v>32.734902420235173</c:v>
                </c:pt>
                <c:pt idx="22">
                  <c:v>34.013959103850667</c:v>
                </c:pt>
                <c:pt idx="23">
                  <c:v>35.333001408354917</c:v>
                </c:pt>
                <c:pt idx="24">
                  <c:v>36.692029333747946</c:v>
                </c:pt>
                <c:pt idx="25">
                  <c:v>38.091042880029732</c:v>
                </c:pt>
                <c:pt idx="26">
                  <c:v>39.530042047200283</c:v>
                </c:pt>
                <c:pt idx="27">
                  <c:v>41.009026835259597</c:v>
                </c:pt>
                <c:pt idx="28">
                  <c:v>42.527997244207683</c:v>
                </c:pt>
                <c:pt idx="29">
                  <c:v>44.086953274044532</c:v>
                </c:pt>
                <c:pt idx="30">
                  <c:v>45.685894924770139</c:v>
                </c:pt>
                <c:pt idx="31">
                  <c:v>47.324822196384517</c:v>
                </c:pt>
                <c:pt idx="32">
                  <c:v>49.003735088887659</c:v>
                </c:pt>
                <c:pt idx="33">
                  <c:v>50.722633602279572</c:v>
                </c:pt>
                <c:pt idx="34">
                  <c:v>52.481517736560242</c:v>
                </c:pt>
                <c:pt idx="35">
                  <c:v>54.280387491729677</c:v>
                </c:pt>
                <c:pt idx="36">
                  <c:v>56.119242867787875</c:v>
                </c:pt>
                <c:pt idx="37">
                  <c:v>57.998083864734852</c:v>
                </c:pt>
                <c:pt idx="38">
                  <c:v>59.916910482570572</c:v>
                </c:pt>
                <c:pt idx="39">
                  <c:v>61.875722721295077</c:v>
                </c:pt>
                <c:pt idx="40">
                  <c:v>63.874520580908339</c:v>
                </c:pt>
                <c:pt idx="41">
                  <c:v>65.913304061410358</c:v>
                </c:pt>
                <c:pt idx="42">
                  <c:v>67.992073162801134</c:v>
                </c:pt>
                <c:pt idx="43">
                  <c:v>70.110827885080681</c:v>
                </c:pt>
                <c:pt idx="44">
                  <c:v>72.269568228249</c:v>
                </c:pt>
                <c:pt idx="45">
                  <c:v>74.468294192306075</c:v>
                </c:pt>
                <c:pt idx="46">
                  <c:v>76.707005777251922</c:v>
                </c:pt>
                <c:pt idx="47">
                  <c:v>78.985702983086526</c:v>
                </c:pt>
                <c:pt idx="48">
                  <c:v>81.304385809809887</c:v>
                </c:pt>
                <c:pt idx="49">
                  <c:v>83.663054257422033</c:v>
                </c:pt>
                <c:pt idx="50">
                  <c:v>86.06170832592295</c:v>
                </c:pt>
                <c:pt idx="51">
                  <c:v>88.500348015312611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D5E-4561-B792-401913D11507}"/>
            </c:ext>
          </c:extLst>
        </c:ser>
        <c:ser>
          <c:idx val="25"/>
          <c:order val="25"/>
          <c:spPr>
            <a:ln w="952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поверхность'!$B$29:$BA$29</c:f>
              <c:numCache>
                <c:formatCode>General</c:formatCode>
                <c:ptCount val="52"/>
                <c:pt idx="0">
                  <c:v>4.8000000000000016</c:v>
                </c:pt>
                <c:pt idx="1">
                  <c:v>16.495412839476494</c:v>
                </c:pt>
                <c:pt idx="2">
                  <c:v>16.992832396249003</c:v>
                </c:pt>
                <c:pt idx="3">
                  <c:v>17.530237573910281</c:v>
                </c:pt>
                <c:pt idx="4">
                  <c:v>18.107628372460322</c:v>
                </c:pt>
                <c:pt idx="5">
                  <c:v>18.725004791899128</c:v>
                </c:pt>
                <c:pt idx="6">
                  <c:v>19.382366832226698</c:v>
                </c:pt>
                <c:pt idx="7">
                  <c:v>20.079714493443035</c:v>
                </c:pt>
                <c:pt idx="8">
                  <c:v>20.817047775548133</c:v>
                </c:pt>
                <c:pt idx="9">
                  <c:v>21.594366678541999</c:v>
                </c:pt>
                <c:pt idx="10">
                  <c:v>22.411671202424628</c:v>
                </c:pt>
                <c:pt idx="11">
                  <c:v>23.268961347196026</c:v>
                </c:pt>
                <c:pt idx="12">
                  <c:v>24.166237112856187</c:v>
                </c:pt>
                <c:pt idx="13">
                  <c:v>25.103498499405113</c:v>
                </c:pt>
                <c:pt idx="14">
                  <c:v>26.080745506842806</c:v>
                </c:pt>
                <c:pt idx="15">
                  <c:v>27.09797813516926</c:v>
                </c:pt>
                <c:pt idx="16">
                  <c:v>28.155196384384482</c:v>
                </c:pt>
                <c:pt idx="17">
                  <c:v>29.252400254488471</c:v>
                </c:pt>
                <c:pt idx="18">
                  <c:v>30.389589745481224</c:v>
                </c:pt>
                <c:pt idx="19">
                  <c:v>31.566764857362738</c:v>
                </c:pt>
                <c:pt idx="20">
                  <c:v>32.783925590133023</c:v>
                </c:pt>
                <c:pt idx="21">
                  <c:v>34.041071943792062</c:v>
                </c:pt>
                <c:pt idx="22">
                  <c:v>35.338203918339872</c:v>
                </c:pt>
                <c:pt idx="23">
                  <c:v>36.675321513776453</c:v>
                </c:pt>
                <c:pt idx="24">
                  <c:v>38.052424730101791</c:v>
                </c:pt>
                <c:pt idx="25">
                  <c:v>39.4695135673159</c:v>
                </c:pt>
                <c:pt idx="26">
                  <c:v>40.926588025418773</c:v>
                </c:pt>
                <c:pt idx="27">
                  <c:v>42.423648104410411</c:v>
                </c:pt>
                <c:pt idx="28">
                  <c:v>43.960693804290813</c:v>
                </c:pt>
                <c:pt idx="29">
                  <c:v>45.537725125059978</c:v>
                </c:pt>
                <c:pt idx="30">
                  <c:v>47.154742066717908</c:v>
                </c:pt>
                <c:pt idx="31">
                  <c:v>48.811744629264616</c:v>
                </c:pt>
                <c:pt idx="32">
                  <c:v>50.508732812700075</c:v>
                </c:pt>
                <c:pt idx="33">
                  <c:v>52.245706617024297</c:v>
                </c:pt>
                <c:pt idx="34">
                  <c:v>54.022666042237297</c:v>
                </c:pt>
                <c:pt idx="35">
                  <c:v>55.839611088339048</c:v>
                </c:pt>
                <c:pt idx="36">
                  <c:v>57.696541755329577</c:v>
                </c:pt>
                <c:pt idx="37">
                  <c:v>59.593458043208869</c:v>
                </c:pt>
                <c:pt idx="38">
                  <c:v>61.530359951976919</c:v>
                </c:pt>
                <c:pt idx="39">
                  <c:v>63.507247481633733</c:v>
                </c:pt>
                <c:pt idx="40">
                  <c:v>65.524120632179319</c:v>
                </c:pt>
                <c:pt idx="41">
                  <c:v>67.580979403613654</c:v>
                </c:pt>
                <c:pt idx="42">
                  <c:v>69.677823795936746</c:v>
                </c:pt>
                <c:pt idx="43">
                  <c:v>71.814653809148624</c:v>
                </c:pt>
                <c:pt idx="44">
                  <c:v>73.991469443249258</c:v>
                </c:pt>
                <c:pt idx="45">
                  <c:v>76.20827069823865</c:v>
                </c:pt>
                <c:pt idx="46">
                  <c:v>78.465057574116813</c:v>
                </c:pt>
                <c:pt idx="47">
                  <c:v>80.761830070883747</c:v>
                </c:pt>
                <c:pt idx="48">
                  <c:v>83.098588188539424</c:v>
                </c:pt>
                <c:pt idx="49">
                  <c:v>85.475331927083886</c:v>
                </c:pt>
                <c:pt idx="50">
                  <c:v>87.892061286517105</c:v>
                </c:pt>
                <c:pt idx="51">
                  <c:v>90.348776266839096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D5E-4561-B792-401913D11507}"/>
            </c:ext>
          </c:extLst>
        </c:ser>
        <c:ser>
          <c:idx val="26"/>
          <c:order val="26"/>
          <c:spPr>
            <a:ln w="952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поверхность'!$B$30:$BA$30</c:f>
              <c:numCache>
                <c:formatCode>General</c:formatCode>
                <c:ptCount val="52"/>
                <c:pt idx="0">
                  <c:v>5.0000000000000018</c:v>
                </c:pt>
                <c:pt idx="1">
                  <c:v>17.475538174920082</c:v>
                </c:pt>
                <c:pt idx="2">
                  <c:v>17.991033022624912</c:v>
                </c:pt>
                <c:pt idx="3">
                  <c:v>18.546513491218512</c:v>
                </c:pt>
                <c:pt idx="4">
                  <c:v>19.14197958070087</c:v>
                </c:pt>
                <c:pt idx="5">
                  <c:v>19.777431291071998</c:v>
                </c:pt>
                <c:pt idx="6">
                  <c:v>20.452868622331888</c:v>
                </c:pt>
                <c:pt idx="7">
                  <c:v>21.168291574480545</c:v>
                </c:pt>
                <c:pt idx="8">
                  <c:v>21.923700147517962</c:v>
                </c:pt>
                <c:pt idx="9">
                  <c:v>22.719094341444148</c:v>
                </c:pt>
                <c:pt idx="10">
                  <c:v>23.554474156259101</c:v>
                </c:pt>
                <c:pt idx="11">
                  <c:v>24.429839591962818</c:v>
                </c:pt>
                <c:pt idx="12">
                  <c:v>25.345190648555295</c:v>
                </c:pt>
                <c:pt idx="13">
                  <c:v>26.300527326036544</c:v>
                </c:pt>
                <c:pt idx="14">
                  <c:v>27.295849624406561</c:v>
                </c:pt>
                <c:pt idx="15">
                  <c:v>28.331157543665334</c:v>
                </c:pt>
                <c:pt idx="16">
                  <c:v>29.406451083812875</c:v>
                </c:pt>
                <c:pt idx="17">
                  <c:v>30.521730244849181</c:v>
                </c:pt>
                <c:pt idx="18">
                  <c:v>31.676995026774254</c:v>
                </c:pt>
                <c:pt idx="19">
                  <c:v>32.872245429588091</c:v>
                </c:pt>
                <c:pt idx="20">
                  <c:v>34.107481453290696</c:v>
                </c:pt>
                <c:pt idx="21">
                  <c:v>35.382703097882057</c:v>
                </c:pt>
                <c:pt idx="22">
                  <c:v>36.69791036336219</c:v>
                </c:pt>
                <c:pt idx="23">
                  <c:v>38.053103249731087</c:v>
                </c:pt>
                <c:pt idx="24">
                  <c:v>39.448281756988749</c:v>
                </c:pt>
                <c:pt idx="25">
                  <c:v>40.883445885135174</c:v>
                </c:pt>
                <c:pt idx="26">
                  <c:v>42.358595634170371</c:v>
                </c:pt>
                <c:pt idx="27">
                  <c:v>43.873731004094324</c:v>
                </c:pt>
                <c:pt idx="28">
                  <c:v>45.428851994907042</c:v>
                </c:pt>
                <c:pt idx="29">
                  <c:v>47.023958606608531</c:v>
                </c:pt>
                <c:pt idx="30">
                  <c:v>48.659050839198784</c:v>
                </c:pt>
                <c:pt idx="31">
                  <c:v>50.334128692677808</c:v>
                </c:pt>
                <c:pt idx="32">
                  <c:v>52.049192167045589</c:v>
                </c:pt>
                <c:pt idx="33">
                  <c:v>53.804241262302135</c:v>
                </c:pt>
                <c:pt idx="34">
                  <c:v>55.599275978447452</c:v>
                </c:pt>
                <c:pt idx="35">
                  <c:v>57.434296315481525</c:v>
                </c:pt>
                <c:pt idx="36">
                  <c:v>59.309302273404363</c:v>
                </c:pt>
                <c:pt idx="37">
                  <c:v>61.224293852215972</c:v>
                </c:pt>
                <c:pt idx="38">
                  <c:v>63.179271051916345</c:v>
                </c:pt>
                <c:pt idx="39">
                  <c:v>65.174233872505482</c:v>
                </c:pt>
                <c:pt idx="40">
                  <c:v>67.209182313983391</c:v>
                </c:pt>
                <c:pt idx="41">
                  <c:v>69.284116376350056</c:v>
                </c:pt>
                <c:pt idx="42">
                  <c:v>71.399036059605464</c:v>
                </c:pt>
                <c:pt idx="43">
                  <c:v>73.553941363749658</c:v>
                </c:pt>
                <c:pt idx="44">
                  <c:v>75.748832288782609</c:v>
                </c:pt>
                <c:pt idx="45">
                  <c:v>77.983708834704316</c:v>
                </c:pt>
                <c:pt idx="46">
                  <c:v>80.258571001514809</c:v>
                </c:pt>
                <c:pt idx="47">
                  <c:v>82.57341878921406</c:v>
                </c:pt>
                <c:pt idx="48">
                  <c:v>84.928252197802067</c:v>
                </c:pt>
                <c:pt idx="49">
                  <c:v>87.323071227278831</c:v>
                </c:pt>
                <c:pt idx="50">
                  <c:v>89.757875877644381</c:v>
                </c:pt>
                <c:pt idx="51">
                  <c:v>92.232666148898687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D5E-4561-B792-401913D11507}"/>
            </c:ext>
          </c:extLst>
        </c:ser>
        <c:ser>
          <c:idx val="27"/>
          <c:order val="27"/>
          <c:spPr>
            <a:ln w="952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поверхность'!$B$31:$BA$31</c:f>
              <c:numCache>
                <c:formatCode>General</c:formatCode>
                <c:ptCount val="52"/>
                <c:pt idx="0">
                  <c:v>5.200000000000002</c:v>
                </c:pt>
                <c:pt idx="1">
                  <c:v>18.491125140896777</c:v>
                </c:pt>
                <c:pt idx="2">
                  <c:v>19.024695279533926</c:v>
                </c:pt>
                <c:pt idx="3">
                  <c:v>19.598251039059839</c:v>
                </c:pt>
                <c:pt idx="4">
                  <c:v>20.211792419474527</c:v>
                </c:pt>
                <c:pt idx="5">
                  <c:v>20.865319420777972</c:v>
                </c:pt>
                <c:pt idx="6">
                  <c:v>21.558832042970181</c:v>
                </c:pt>
                <c:pt idx="7">
                  <c:v>22.292330286051158</c:v>
                </c:pt>
                <c:pt idx="8">
                  <c:v>23.065814150020898</c:v>
                </c:pt>
                <c:pt idx="9">
                  <c:v>23.879283634879403</c:v>
                </c:pt>
                <c:pt idx="10">
                  <c:v>24.732738740626672</c:v>
                </c:pt>
                <c:pt idx="11">
                  <c:v>25.626179467262709</c:v>
                </c:pt>
                <c:pt idx="12">
                  <c:v>26.559605814787513</c:v>
                </c:pt>
                <c:pt idx="13">
                  <c:v>27.533017783201075</c:v>
                </c:pt>
                <c:pt idx="14">
                  <c:v>28.546415372503407</c:v>
                </c:pt>
                <c:pt idx="15">
                  <c:v>29.599798582694504</c:v>
                </c:pt>
                <c:pt idx="16">
                  <c:v>30.693167413774368</c:v>
                </c:pt>
                <c:pt idx="17">
                  <c:v>31.826521865742993</c:v>
                </c:pt>
                <c:pt idx="18">
                  <c:v>32.99986193860039</c:v>
                </c:pt>
                <c:pt idx="19">
                  <c:v>34.213187632346546</c:v>
                </c:pt>
                <c:pt idx="20">
                  <c:v>35.466498946981467</c:v>
                </c:pt>
                <c:pt idx="21">
                  <c:v>36.759795882505152</c:v>
                </c:pt>
                <c:pt idx="22">
                  <c:v>38.093078438917608</c:v>
                </c:pt>
                <c:pt idx="23">
                  <c:v>39.466346616218821</c:v>
                </c:pt>
                <c:pt idx="24">
                  <c:v>40.879600414408806</c:v>
                </c:pt>
                <c:pt idx="25">
                  <c:v>42.332839833487554</c:v>
                </c:pt>
                <c:pt idx="26">
                  <c:v>43.82606487345506</c:v>
                </c:pt>
                <c:pt idx="27">
                  <c:v>45.359275534311344</c:v>
                </c:pt>
                <c:pt idx="28">
                  <c:v>46.932471816056378</c:v>
                </c:pt>
                <c:pt idx="29">
                  <c:v>48.54565371869019</c:v>
                </c:pt>
                <c:pt idx="30">
                  <c:v>50.198821242212766</c:v>
                </c:pt>
                <c:pt idx="31">
                  <c:v>51.891974386624099</c:v>
                </c:pt>
                <c:pt idx="32">
                  <c:v>53.625113151924197</c:v>
                </c:pt>
                <c:pt idx="33">
                  <c:v>55.398237538113072</c:v>
                </c:pt>
                <c:pt idx="34">
                  <c:v>57.211347545190705</c:v>
                </c:pt>
                <c:pt idx="35">
                  <c:v>59.064443173157102</c:v>
                </c:pt>
                <c:pt idx="36">
                  <c:v>60.957524422012263</c:v>
                </c:pt>
                <c:pt idx="37">
                  <c:v>62.890591291756195</c:v>
                </c:pt>
                <c:pt idx="38">
                  <c:v>64.863643782388891</c:v>
                </c:pt>
                <c:pt idx="39">
                  <c:v>66.876681893910344</c:v>
                </c:pt>
                <c:pt idx="40">
                  <c:v>68.929705626320569</c:v>
                </c:pt>
                <c:pt idx="41">
                  <c:v>71.022714979619536</c:v>
                </c:pt>
                <c:pt idx="42">
                  <c:v>73.155709953807289</c:v>
                </c:pt>
                <c:pt idx="43">
                  <c:v>75.328690548883799</c:v>
                </c:pt>
                <c:pt idx="44">
                  <c:v>77.541656764849066</c:v>
                </c:pt>
                <c:pt idx="45">
                  <c:v>79.794608601703104</c:v>
                </c:pt>
                <c:pt idx="46">
                  <c:v>82.087546059445899</c:v>
                </c:pt>
                <c:pt idx="47">
                  <c:v>84.420469138077465</c:v>
                </c:pt>
                <c:pt idx="48">
                  <c:v>86.793377837597802</c:v>
                </c:pt>
                <c:pt idx="49">
                  <c:v>89.206272158006897</c:v>
                </c:pt>
                <c:pt idx="50">
                  <c:v>91.659152099304762</c:v>
                </c:pt>
                <c:pt idx="51">
                  <c:v>94.152017661491385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D5E-4561-B792-401913D11507}"/>
            </c:ext>
          </c:extLst>
        </c:ser>
        <c:ser>
          <c:idx val="28"/>
          <c:order val="28"/>
          <c:spPr>
            <a:ln w="95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поверхность'!$B$32:$BA$32</c:f>
              <c:numCache>
                <c:formatCode>General</c:formatCode>
                <c:ptCount val="52"/>
                <c:pt idx="0">
                  <c:v>5.4000000000000021</c:v>
                </c:pt>
                <c:pt idx="1">
                  <c:v>19.542173737406564</c:v>
                </c:pt>
                <c:pt idx="2">
                  <c:v>20.093819166976036</c:v>
                </c:pt>
                <c:pt idx="3">
                  <c:v>20.685450217434276</c:v>
                </c:pt>
                <c:pt idx="4">
                  <c:v>21.317066888781273</c:v>
                </c:pt>
                <c:pt idx="5">
                  <c:v>21.988669181017041</c:v>
                </c:pt>
                <c:pt idx="6">
                  <c:v>22.70025709414157</c:v>
                </c:pt>
                <c:pt idx="7">
                  <c:v>23.45183062815487</c:v>
                </c:pt>
                <c:pt idx="8">
                  <c:v>24.24338978305693</c:v>
                </c:pt>
                <c:pt idx="9">
                  <c:v>25.074934558847755</c:v>
                </c:pt>
                <c:pt idx="10">
                  <c:v>25.946464955527347</c:v>
                </c:pt>
                <c:pt idx="11">
                  <c:v>26.857980973095703</c:v>
                </c:pt>
                <c:pt idx="12">
                  <c:v>27.809482611552824</c:v>
                </c:pt>
                <c:pt idx="13">
                  <c:v>28.800969870898712</c:v>
                </c:pt>
                <c:pt idx="14">
                  <c:v>29.832442751133364</c:v>
                </c:pt>
                <c:pt idx="15">
                  <c:v>30.903901252256777</c:v>
                </c:pt>
                <c:pt idx="16">
                  <c:v>32.015345374268961</c:v>
                </c:pt>
                <c:pt idx="17">
                  <c:v>33.166775117169912</c:v>
                </c:pt>
                <c:pt idx="18">
                  <c:v>34.358190480959621</c:v>
                </c:pt>
                <c:pt idx="19">
                  <c:v>35.589591465638094</c:v>
                </c:pt>
                <c:pt idx="20">
                  <c:v>36.860978071205338</c:v>
                </c:pt>
                <c:pt idx="21">
                  <c:v>38.172350297661346</c:v>
                </c:pt>
                <c:pt idx="22">
                  <c:v>39.523708145006111</c:v>
                </c:pt>
                <c:pt idx="23">
                  <c:v>40.915051613239655</c:v>
                </c:pt>
                <c:pt idx="24">
                  <c:v>42.346380702361955</c:v>
                </c:pt>
                <c:pt idx="25">
                  <c:v>43.817695412373027</c:v>
                </c:pt>
                <c:pt idx="26">
                  <c:v>45.328995743272849</c:v>
                </c:pt>
                <c:pt idx="27">
                  <c:v>46.880281695061456</c:v>
                </c:pt>
                <c:pt idx="28">
                  <c:v>48.471553267738813</c:v>
                </c:pt>
                <c:pt idx="29">
                  <c:v>50.102810461304941</c:v>
                </c:pt>
                <c:pt idx="30">
                  <c:v>51.774053275759833</c:v>
                </c:pt>
                <c:pt idx="31">
                  <c:v>53.485281711103497</c:v>
                </c:pt>
                <c:pt idx="32">
                  <c:v>55.236495767335917</c:v>
                </c:pt>
                <c:pt idx="33">
                  <c:v>57.027695444457102</c:v>
                </c:pt>
                <c:pt idx="34">
                  <c:v>58.858880742467058</c:v>
                </c:pt>
                <c:pt idx="35">
                  <c:v>60.730051661365778</c:v>
                </c:pt>
                <c:pt idx="36">
                  <c:v>62.641208201153262</c:v>
                </c:pt>
                <c:pt idx="37">
                  <c:v>64.592350361829503</c:v>
                </c:pt>
                <c:pt idx="38">
                  <c:v>66.583478143394515</c:v>
                </c:pt>
                <c:pt idx="39">
                  <c:v>68.614591545848299</c:v>
                </c:pt>
                <c:pt idx="40">
                  <c:v>70.685690569190839</c:v>
                </c:pt>
                <c:pt idx="41">
                  <c:v>72.796775213422137</c:v>
                </c:pt>
                <c:pt idx="42">
                  <c:v>74.947845478542206</c:v>
                </c:pt>
                <c:pt idx="43">
                  <c:v>77.138901364551032</c:v>
                </c:pt>
                <c:pt idx="44">
                  <c:v>79.369942871448615</c:v>
                </c:pt>
                <c:pt idx="45">
                  <c:v>81.640969999234969</c:v>
                </c:pt>
                <c:pt idx="46">
                  <c:v>83.951982747910108</c:v>
                </c:pt>
                <c:pt idx="47">
                  <c:v>86.302981117473976</c:v>
                </c:pt>
                <c:pt idx="48">
                  <c:v>88.693965107926644</c:v>
                </c:pt>
                <c:pt idx="49">
                  <c:v>91.12493471926804</c:v>
                </c:pt>
                <c:pt idx="50">
                  <c:v>93.595889951498236</c:v>
                </c:pt>
                <c:pt idx="51">
                  <c:v>96.106830804617175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D5E-4561-B792-401913D11507}"/>
            </c:ext>
          </c:extLst>
        </c:ser>
        <c:ser>
          <c:idx val="29"/>
          <c:order val="29"/>
          <c:spPr>
            <a:ln w="95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val>
            <c:numRef>
              <c:f>'Нелинейная поверхность'!$B$33:$BA$33</c:f>
              <c:numCache>
                <c:formatCode>General</c:formatCode>
                <c:ptCount val="52"/>
                <c:pt idx="0">
                  <c:v>5.6000000000000023</c:v>
                </c:pt>
                <c:pt idx="1">
                  <c:v>20.628683964449458</c:v>
                </c:pt>
                <c:pt idx="2">
                  <c:v>21.198404684951246</c:v>
                </c:pt>
                <c:pt idx="3">
                  <c:v>21.808111026341809</c:v>
                </c:pt>
                <c:pt idx="4">
                  <c:v>22.457802988621125</c:v>
                </c:pt>
                <c:pt idx="5">
                  <c:v>23.147480571789217</c:v>
                </c:pt>
                <c:pt idx="6">
                  <c:v>23.877143775846065</c:v>
                </c:pt>
                <c:pt idx="7">
                  <c:v>24.646792600791677</c:v>
                </c:pt>
                <c:pt idx="8">
                  <c:v>25.456427046626061</c:v>
                </c:pt>
                <c:pt idx="9">
                  <c:v>26.306047113349205</c:v>
                </c:pt>
                <c:pt idx="10">
                  <c:v>27.19565280096112</c:v>
                </c:pt>
                <c:pt idx="11">
                  <c:v>28.125244109461796</c:v>
                </c:pt>
                <c:pt idx="12">
                  <c:v>29.094821038851236</c:v>
                </c:pt>
                <c:pt idx="13">
                  <c:v>30.104383589129444</c:v>
                </c:pt>
                <c:pt idx="14">
                  <c:v>31.153931760296416</c:v>
                </c:pt>
                <c:pt idx="15">
                  <c:v>32.243465552352149</c:v>
                </c:pt>
                <c:pt idx="16">
                  <c:v>33.372984965296652</c:v>
                </c:pt>
                <c:pt idx="17">
                  <c:v>34.54248999912992</c:v>
                </c:pt>
                <c:pt idx="18">
                  <c:v>35.751980653851952</c:v>
                </c:pt>
                <c:pt idx="19">
                  <c:v>37.001456929462748</c:v>
                </c:pt>
                <c:pt idx="20">
                  <c:v>38.290918825962315</c:v>
                </c:pt>
                <c:pt idx="21">
                  <c:v>39.620366343350639</c:v>
                </c:pt>
                <c:pt idx="22">
                  <c:v>40.989799481627728</c:v>
                </c:pt>
                <c:pt idx="23">
                  <c:v>42.399218240793587</c:v>
                </c:pt>
                <c:pt idx="24">
                  <c:v>43.848622620848211</c:v>
                </c:pt>
                <c:pt idx="25">
                  <c:v>45.338012621791606</c:v>
                </c:pt>
                <c:pt idx="26">
                  <c:v>46.867388243623751</c:v>
                </c:pt>
                <c:pt idx="27">
                  <c:v>48.436749486344659</c:v>
                </c:pt>
                <c:pt idx="28">
                  <c:v>50.046096349954347</c:v>
                </c:pt>
                <c:pt idx="29">
                  <c:v>51.695428834452798</c:v>
                </c:pt>
                <c:pt idx="30">
                  <c:v>53.384746939839999</c:v>
                </c:pt>
                <c:pt idx="31">
                  <c:v>55.114050666115986</c:v>
                </c:pt>
                <c:pt idx="32">
                  <c:v>56.88334001328073</c:v>
                </c:pt>
                <c:pt idx="33">
                  <c:v>58.692614981334238</c:v>
                </c:pt>
                <c:pt idx="34">
                  <c:v>60.541875570276517</c:v>
                </c:pt>
                <c:pt idx="35">
                  <c:v>62.431121780107546</c:v>
                </c:pt>
                <c:pt idx="36">
                  <c:v>64.36035361082736</c:v>
                </c:pt>
                <c:pt idx="37">
                  <c:v>66.329571062435917</c:v>
                </c:pt>
                <c:pt idx="38">
                  <c:v>68.33877413493326</c:v>
                </c:pt>
                <c:pt idx="39">
                  <c:v>70.387962828319345</c:v>
                </c:pt>
                <c:pt idx="40">
                  <c:v>72.477137142594216</c:v>
                </c:pt>
                <c:pt idx="41">
                  <c:v>74.60629707775783</c:v>
                </c:pt>
                <c:pt idx="42">
                  <c:v>76.775442633810201</c:v>
                </c:pt>
                <c:pt idx="43">
                  <c:v>78.984573810751357</c:v>
                </c:pt>
                <c:pt idx="44">
                  <c:v>81.23369060858127</c:v>
                </c:pt>
                <c:pt idx="45">
                  <c:v>83.522793027299954</c:v>
                </c:pt>
                <c:pt idx="46">
                  <c:v>85.851881066907396</c:v>
                </c:pt>
                <c:pt idx="47">
                  <c:v>88.220954727403594</c:v>
                </c:pt>
                <c:pt idx="48">
                  <c:v>90.630014008788564</c:v>
                </c:pt>
                <c:pt idx="49">
                  <c:v>93.079058911062305</c:v>
                </c:pt>
                <c:pt idx="50">
                  <c:v>95.568089434224802</c:v>
                </c:pt>
                <c:pt idx="51">
                  <c:v>98.097105578276071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D5E-4561-B792-401913D11507}"/>
            </c:ext>
          </c:extLst>
        </c:ser>
        <c:ser>
          <c:idx val="30"/>
          <c:order val="30"/>
          <c:spPr>
            <a:ln w="95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поверхность'!$B$34:$BA$34</c:f>
              <c:numCache>
                <c:formatCode>General</c:formatCode>
                <c:ptCount val="52"/>
                <c:pt idx="0">
                  <c:v>5.8000000000000025</c:v>
                </c:pt>
                <c:pt idx="1">
                  <c:v>21.75065582202545</c:v>
                </c:pt>
                <c:pt idx="2">
                  <c:v>22.338451833459562</c:v>
                </c:pt>
                <c:pt idx="3">
                  <c:v>22.966233465782441</c:v>
                </c:pt>
                <c:pt idx="4">
                  <c:v>23.634000718994081</c:v>
                </c:pt>
                <c:pt idx="5">
                  <c:v>24.341753593094488</c:v>
                </c:pt>
                <c:pt idx="6">
                  <c:v>25.089492088083659</c:v>
                </c:pt>
                <c:pt idx="7">
                  <c:v>25.877216203961595</c:v>
                </c:pt>
                <c:pt idx="8">
                  <c:v>26.704925940728295</c:v>
                </c:pt>
                <c:pt idx="9">
                  <c:v>27.572621298383758</c:v>
                </c:pt>
                <c:pt idx="10">
                  <c:v>28.480302276927993</c:v>
                </c:pt>
                <c:pt idx="11">
                  <c:v>29.427968876360989</c:v>
                </c:pt>
                <c:pt idx="12">
                  <c:v>30.415621096682749</c:v>
                </c:pt>
                <c:pt idx="13">
                  <c:v>31.443258937893276</c:v>
                </c:pt>
                <c:pt idx="14">
                  <c:v>32.510882399992575</c:v>
                </c:pt>
                <c:pt idx="15">
                  <c:v>33.618491482980623</c:v>
                </c:pt>
                <c:pt idx="16">
                  <c:v>34.76608618685745</c:v>
                </c:pt>
                <c:pt idx="17">
                  <c:v>35.953666511623041</c:v>
                </c:pt>
                <c:pt idx="18">
                  <c:v>37.181232457277389</c:v>
                </c:pt>
                <c:pt idx="19">
                  <c:v>38.448784023820501</c:v>
                </c:pt>
                <c:pt idx="20">
                  <c:v>39.756321211252391</c:v>
                </c:pt>
                <c:pt idx="21">
                  <c:v>41.103844019573032</c:v>
                </c:pt>
                <c:pt idx="22">
                  <c:v>42.491352448782443</c:v>
                </c:pt>
                <c:pt idx="23">
                  <c:v>43.918846498880626</c:v>
                </c:pt>
                <c:pt idx="24">
                  <c:v>45.386326169867566</c:v>
                </c:pt>
                <c:pt idx="25">
                  <c:v>46.89379146174327</c:v>
                </c:pt>
                <c:pt idx="26">
                  <c:v>48.441242374507738</c:v>
                </c:pt>
                <c:pt idx="27">
                  <c:v>50.028678908160984</c:v>
                </c:pt>
                <c:pt idx="28">
                  <c:v>51.65610106270298</c:v>
                </c:pt>
                <c:pt idx="29">
                  <c:v>53.323508838133748</c:v>
                </c:pt>
                <c:pt idx="30">
                  <c:v>55.030902234453286</c:v>
                </c:pt>
                <c:pt idx="31">
                  <c:v>56.778281251661582</c:v>
                </c:pt>
                <c:pt idx="32">
                  <c:v>58.565645889758642</c:v>
                </c:pt>
                <c:pt idx="33">
                  <c:v>60.392996148744473</c:v>
                </c:pt>
                <c:pt idx="34">
                  <c:v>62.260332028619075</c:v>
                </c:pt>
                <c:pt idx="35">
                  <c:v>64.16765352938242</c:v>
                </c:pt>
                <c:pt idx="36">
                  <c:v>66.114960651034551</c:v>
                </c:pt>
                <c:pt idx="37">
                  <c:v>68.102253393575438</c:v>
                </c:pt>
                <c:pt idx="38">
                  <c:v>70.129531757005083</c:v>
                </c:pt>
                <c:pt idx="39">
                  <c:v>72.196795741323513</c:v>
                </c:pt>
                <c:pt idx="40">
                  <c:v>74.3040453465307</c:v>
                </c:pt>
                <c:pt idx="41">
                  <c:v>76.451280572626629</c:v>
                </c:pt>
                <c:pt idx="42">
                  <c:v>78.638501419611345</c:v>
                </c:pt>
                <c:pt idx="43">
                  <c:v>80.865707887484803</c:v>
                </c:pt>
                <c:pt idx="44">
                  <c:v>83.132899976247032</c:v>
                </c:pt>
                <c:pt idx="45">
                  <c:v>85.440077685898018</c:v>
                </c:pt>
                <c:pt idx="46">
                  <c:v>87.78724101643779</c:v>
                </c:pt>
                <c:pt idx="47">
                  <c:v>90.174389967866304</c:v>
                </c:pt>
                <c:pt idx="48">
                  <c:v>92.601524540183604</c:v>
                </c:pt>
                <c:pt idx="49">
                  <c:v>95.068644733389661</c:v>
                </c:pt>
                <c:pt idx="50">
                  <c:v>97.575750547484475</c:v>
                </c:pt>
                <c:pt idx="51">
                  <c:v>100.12284198246806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D5E-4561-B792-401913D11507}"/>
            </c:ext>
          </c:extLst>
        </c:ser>
        <c:ser>
          <c:idx val="31"/>
          <c:order val="31"/>
          <c:spPr>
            <a:ln w="952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поверхность'!$B$35:$BA$35</c:f>
              <c:numCache>
                <c:formatCode>General</c:formatCode>
                <c:ptCount val="52"/>
                <c:pt idx="0">
                  <c:v>6.0000000000000027</c:v>
                </c:pt>
                <c:pt idx="1">
                  <c:v>22.908089310134542</c:v>
                </c:pt>
                <c:pt idx="2">
                  <c:v>23.513960612500973</c:v>
                </c:pt>
                <c:pt idx="3">
                  <c:v>24.159817535756169</c:v>
                </c:pt>
                <c:pt idx="4">
                  <c:v>24.845660079900131</c:v>
                </c:pt>
                <c:pt idx="5">
                  <c:v>25.571488244932862</c:v>
                </c:pt>
                <c:pt idx="6">
                  <c:v>26.337302030854346</c:v>
                </c:pt>
                <c:pt idx="7">
                  <c:v>27.143101437664605</c:v>
                </c:pt>
                <c:pt idx="8">
                  <c:v>27.988886465363628</c:v>
                </c:pt>
                <c:pt idx="9">
                  <c:v>28.874657113951411</c:v>
                </c:pt>
                <c:pt idx="10">
                  <c:v>29.800413383427962</c:v>
                </c:pt>
                <c:pt idx="11">
                  <c:v>30.766155273793281</c:v>
                </c:pt>
                <c:pt idx="12">
                  <c:v>31.77188278504736</c:v>
                </c:pt>
                <c:pt idx="13">
                  <c:v>32.817595917190211</c:v>
                </c:pt>
                <c:pt idx="14">
                  <c:v>33.903294670221818</c:v>
                </c:pt>
                <c:pt idx="15">
                  <c:v>35.028979044142197</c:v>
                </c:pt>
                <c:pt idx="16">
                  <c:v>36.19464903895134</c:v>
                </c:pt>
                <c:pt idx="17">
                  <c:v>37.400304654649247</c:v>
                </c:pt>
                <c:pt idx="18">
                  <c:v>38.645945891235925</c:v>
                </c:pt>
                <c:pt idx="19">
                  <c:v>39.931572748711361</c:v>
                </c:pt>
                <c:pt idx="20">
                  <c:v>41.25718522707556</c:v>
                </c:pt>
                <c:pt idx="21">
                  <c:v>42.622783326328523</c:v>
                </c:pt>
                <c:pt idx="22">
                  <c:v>44.028367046470258</c:v>
                </c:pt>
                <c:pt idx="23">
                  <c:v>45.473936387500757</c:v>
                </c:pt>
                <c:pt idx="24">
                  <c:v>46.95949134942002</c:v>
                </c:pt>
                <c:pt idx="25">
                  <c:v>48.485031932228047</c:v>
                </c:pt>
                <c:pt idx="26">
                  <c:v>50.050558135924831</c:v>
                </c:pt>
                <c:pt idx="27">
                  <c:v>51.656069960510393</c:v>
                </c:pt>
                <c:pt idx="28">
                  <c:v>53.301567405984713</c:v>
                </c:pt>
                <c:pt idx="29">
                  <c:v>54.987050472347804</c:v>
                </c:pt>
                <c:pt idx="30">
                  <c:v>56.712519159599658</c:v>
                </c:pt>
                <c:pt idx="31">
                  <c:v>58.477973467740277</c:v>
                </c:pt>
                <c:pt idx="32">
                  <c:v>60.28341339676966</c:v>
                </c:pt>
                <c:pt idx="33">
                  <c:v>62.128838946687807</c:v>
                </c:pt>
                <c:pt idx="34">
                  <c:v>64.014250117494726</c:v>
                </c:pt>
                <c:pt idx="35">
                  <c:v>65.939646909190401</c:v>
                </c:pt>
                <c:pt idx="36">
                  <c:v>67.905029321774833</c:v>
                </c:pt>
                <c:pt idx="37">
                  <c:v>69.910397355248051</c:v>
                </c:pt>
                <c:pt idx="38">
                  <c:v>71.955751009610026</c:v>
                </c:pt>
                <c:pt idx="39">
                  <c:v>74.041090284860758</c:v>
                </c:pt>
                <c:pt idx="40">
                  <c:v>76.166415181000261</c:v>
                </c:pt>
                <c:pt idx="41">
                  <c:v>78.331725698028521</c:v>
                </c:pt>
                <c:pt idx="42">
                  <c:v>80.537021835945552</c:v>
                </c:pt>
                <c:pt idx="43">
                  <c:v>82.78230359475134</c:v>
                </c:pt>
                <c:pt idx="44">
                  <c:v>85.067570974445886</c:v>
                </c:pt>
                <c:pt idx="45">
                  <c:v>87.392823975029202</c:v>
                </c:pt>
                <c:pt idx="46">
                  <c:v>89.75806259650129</c:v>
                </c:pt>
                <c:pt idx="47">
                  <c:v>92.163286838862135</c:v>
                </c:pt>
                <c:pt idx="48">
                  <c:v>94.608496702111736</c:v>
                </c:pt>
                <c:pt idx="49">
                  <c:v>97.093692186250109</c:v>
                </c:pt>
                <c:pt idx="50">
                  <c:v>99.618873291277268</c:v>
                </c:pt>
                <c:pt idx="51">
                  <c:v>102.18404001719315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D5E-4561-B792-401913D11507}"/>
            </c:ext>
          </c:extLst>
        </c:ser>
        <c:ser>
          <c:idx val="32"/>
          <c:order val="32"/>
          <c:spPr>
            <a:ln w="952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поверхность'!$B$36:$BA$36</c:f>
              <c:numCache>
                <c:formatCode>General</c:formatCode>
                <c:ptCount val="52"/>
                <c:pt idx="0">
                  <c:v>6.2000000000000028</c:v>
                </c:pt>
                <c:pt idx="1">
                  <c:v>24.100984428776734</c:v>
                </c:pt>
                <c:pt idx="2">
                  <c:v>24.724931022075484</c:v>
                </c:pt>
                <c:pt idx="3">
                  <c:v>25.388863236263003</c:v>
                </c:pt>
                <c:pt idx="4">
                  <c:v>26.092781071339282</c:v>
                </c:pt>
                <c:pt idx="5">
                  <c:v>26.836684527304332</c:v>
                </c:pt>
                <c:pt idx="6">
                  <c:v>27.620573604158142</c:v>
                </c:pt>
                <c:pt idx="7">
                  <c:v>28.444448301900717</c:v>
                </c:pt>
                <c:pt idx="8">
                  <c:v>29.30830862053206</c:v>
                </c:pt>
                <c:pt idx="9">
                  <c:v>30.212154560052163</c:v>
                </c:pt>
                <c:pt idx="10">
                  <c:v>31.155986120461037</c:v>
                </c:pt>
                <c:pt idx="11">
                  <c:v>32.139803301758676</c:v>
                </c:pt>
                <c:pt idx="12">
                  <c:v>33.163606103945071</c:v>
                </c:pt>
                <c:pt idx="13">
                  <c:v>34.227394527020245</c:v>
                </c:pt>
                <c:pt idx="14">
                  <c:v>35.331168570984175</c:v>
                </c:pt>
                <c:pt idx="15">
                  <c:v>36.47492823583687</c:v>
                </c:pt>
                <c:pt idx="16">
                  <c:v>37.658673521578336</c:v>
                </c:pt>
                <c:pt idx="17">
                  <c:v>38.882404428208559</c:v>
                </c:pt>
                <c:pt idx="18">
                  <c:v>40.146120955727554</c:v>
                </c:pt>
                <c:pt idx="19">
                  <c:v>41.449823104135305</c:v>
                </c:pt>
                <c:pt idx="20">
                  <c:v>42.793510873431835</c:v>
                </c:pt>
                <c:pt idx="21">
                  <c:v>44.177184263617114</c:v>
                </c:pt>
                <c:pt idx="22">
                  <c:v>45.600843274691172</c:v>
                </c:pt>
                <c:pt idx="23">
                  <c:v>47.064487906653987</c:v>
                </c:pt>
                <c:pt idx="24">
                  <c:v>48.568118159505573</c:v>
                </c:pt>
                <c:pt idx="25">
                  <c:v>50.111734033245916</c:v>
                </c:pt>
                <c:pt idx="26">
                  <c:v>51.695335527875031</c:v>
                </c:pt>
                <c:pt idx="27">
                  <c:v>53.318922643392909</c:v>
                </c:pt>
                <c:pt idx="28">
                  <c:v>54.982495379799552</c:v>
                </c:pt>
                <c:pt idx="29">
                  <c:v>56.686053737094959</c:v>
                </c:pt>
                <c:pt idx="30">
                  <c:v>58.429597715279129</c:v>
                </c:pt>
                <c:pt idx="31">
                  <c:v>60.213127314352072</c:v>
                </c:pt>
                <c:pt idx="32">
                  <c:v>62.036642534313771</c:v>
                </c:pt>
                <c:pt idx="33">
                  <c:v>63.900143375164241</c:v>
                </c:pt>
                <c:pt idx="34">
                  <c:v>65.803629836903482</c:v>
                </c:pt>
                <c:pt idx="35">
                  <c:v>67.747101919531474</c:v>
                </c:pt>
                <c:pt idx="36">
                  <c:v>69.730559623048237</c:v>
                </c:pt>
                <c:pt idx="37">
                  <c:v>71.754002947453756</c:v>
                </c:pt>
                <c:pt idx="38">
                  <c:v>73.817431892748061</c:v>
                </c:pt>
                <c:pt idx="39">
                  <c:v>75.920846458931123</c:v>
                </c:pt>
                <c:pt idx="40">
                  <c:v>78.064246646002942</c:v>
                </c:pt>
                <c:pt idx="41">
                  <c:v>80.247632453963519</c:v>
                </c:pt>
                <c:pt idx="42">
                  <c:v>82.471003882812866</c:v>
                </c:pt>
                <c:pt idx="43">
                  <c:v>84.73436093255097</c:v>
                </c:pt>
                <c:pt idx="44">
                  <c:v>87.037703603177832</c:v>
                </c:pt>
                <c:pt idx="45">
                  <c:v>89.381031894693479</c:v>
                </c:pt>
                <c:pt idx="46">
                  <c:v>91.764345807097868</c:v>
                </c:pt>
                <c:pt idx="47">
                  <c:v>94.187645340391043</c:v>
                </c:pt>
                <c:pt idx="48">
                  <c:v>96.650930494572975</c:v>
                </c:pt>
                <c:pt idx="49">
                  <c:v>99.154201269643664</c:v>
                </c:pt>
                <c:pt idx="50">
                  <c:v>101.69745766560314</c:v>
                </c:pt>
                <c:pt idx="51">
                  <c:v>104.28069968245136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D5E-4561-B792-401913D11507}"/>
            </c:ext>
          </c:extLst>
        </c:ser>
        <c:ser>
          <c:idx val="33"/>
          <c:order val="33"/>
          <c:spPr>
            <a:ln w="952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поверхность'!$B$37:$BA$37</c:f>
              <c:numCache>
                <c:formatCode>General</c:formatCode>
                <c:ptCount val="52"/>
                <c:pt idx="0">
                  <c:v>6.400000000000003</c:v>
                </c:pt>
                <c:pt idx="1">
                  <c:v>25.329341177952024</c:v>
                </c:pt>
                <c:pt idx="2">
                  <c:v>25.971363062183098</c:v>
                </c:pt>
                <c:pt idx="3">
                  <c:v>26.653370567302936</c:v>
                </c:pt>
                <c:pt idx="4">
                  <c:v>27.375363693311538</c:v>
                </c:pt>
                <c:pt idx="5">
                  <c:v>28.137342440208904</c:v>
                </c:pt>
                <c:pt idx="6">
                  <c:v>28.939306807995038</c:v>
                </c:pt>
                <c:pt idx="7">
                  <c:v>29.781256796669929</c:v>
                </c:pt>
                <c:pt idx="8">
                  <c:v>30.663192406233591</c:v>
                </c:pt>
                <c:pt idx="9">
                  <c:v>31.585113636686017</c:v>
                </c:pt>
                <c:pt idx="10">
                  <c:v>32.547020488027215</c:v>
                </c:pt>
                <c:pt idx="11">
                  <c:v>33.548912960257169</c:v>
                </c:pt>
                <c:pt idx="12">
                  <c:v>34.590791053375888</c:v>
                </c:pt>
                <c:pt idx="13">
                  <c:v>35.672654767383378</c:v>
                </c:pt>
                <c:pt idx="14">
                  <c:v>36.794504102279632</c:v>
                </c:pt>
                <c:pt idx="15">
                  <c:v>37.956339058064643</c:v>
                </c:pt>
                <c:pt idx="16">
                  <c:v>39.158159634738425</c:v>
                </c:pt>
                <c:pt idx="17">
                  <c:v>40.399965832300978</c:v>
                </c:pt>
                <c:pt idx="18">
                  <c:v>41.681757650752289</c:v>
                </c:pt>
                <c:pt idx="19">
                  <c:v>43.00353509009237</c:v>
                </c:pt>
                <c:pt idx="20">
                  <c:v>44.365298150321209</c:v>
                </c:pt>
                <c:pt idx="21">
                  <c:v>45.767046831438819</c:v>
                </c:pt>
                <c:pt idx="22">
                  <c:v>47.208781133445186</c:v>
                </c:pt>
                <c:pt idx="23">
                  <c:v>48.690501056340324</c:v>
                </c:pt>
                <c:pt idx="24">
                  <c:v>50.212206600124233</c:v>
                </c:pt>
                <c:pt idx="25">
                  <c:v>51.773897764796899</c:v>
                </c:pt>
                <c:pt idx="26">
                  <c:v>53.375574550358323</c:v>
                </c:pt>
                <c:pt idx="27">
                  <c:v>55.017236956808524</c:v>
                </c:pt>
                <c:pt idx="28">
                  <c:v>56.698884984147483</c:v>
                </c:pt>
                <c:pt idx="29">
                  <c:v>58.42051863237522</c:v>
                </c:pt>
                <c:pt idx="30">
                  <c:v>60.182137901491707</c:v>
                </c:pt>
                <c:pt idx="31">
                  <c:v>61.983742791496965</c:v>
                </c:pt>
                <c:pt idx="32">
                  <c:v>63.825333302390987</c:v>
                </c:pt>
                <c:pt idx="33">
                  <c:v>65.706909434173781</c:v>
                </c:pt>
                <c:pt idx="34">
                  <c:v>67.628471186845331</c:v>
                </c:pt>
                <c:pt idx="35">
                  <c:v>69.590018560405639</c:v>
                </c:pt>
                <c:pt idx="36">
                  <c:v>71.591551554854732</c:v>
                </c:pt>
                <c:pt idx="37">
                  <c:v>73.633070170192582</c:v>
                </c:pt>
                <c:pt idx="38">
                  <c:v>75.714574406419189</c:v>
                </c:pt>
                <c:pt idx="39">
                  <c:v>77.836064263534567</c:v>
                </c:pt>
                <c:pt idx="40">
                  <c:v>79.997539741538716</c:v>
                </c:pt>
                <c:pt idx="41">
                  <c:v>82.199000840431609</c:v>
                </c:pt>
                <c:pt idx="42">
                  <c:v>84.440447560213286</c:v>
                </c:pt>
                <c:pt idx="43">
                  <c:v>86.721879900883692</c:v>
                </c:pt>
                <c:pt idx="44">
                  <c:v>89.043297862442898</c:v>
                </c:pt>
                <c:pt idx="45">
                  <c:v>91.404701444890847</c:v>
                </c:pt>
                <c:pt idx="46">
                  <c:v>93.806090648227581</c:v>
                </c:pt>
                <c:pt idx="47">
                  <c:v>96.247465472453058</c:v>
                </c:pt>
                <c:pt idx="48">
                  <c:v>98.72882591756732</c:v>
                </c:pt>
                <c:pt idx="49">
                  <c:v>101.25017198357031</c:v>
                </c:pt>
                <c:pt idx="50">
                  <c:v>103.8115036704621</c:v>
                </c:pt>
                <c:pt idx="51">
                  <c:v>106.41282097824265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D5E-4561-B792-401913D11507}"/>
            </c:ext>
          </c:extLst>
        </c:ser>
        <c:ser>
          <c:idx val="34"/>
          <c:order val="34"/>
          <c:spPr>
            <a:ln w="952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поверхность'!$B$38:$BA$38</c:f>
              <c:numCache>
                <c:formatCode>General</c:formatCode>
                <c:ptCount val="52"/>
                <c:pt idx="0">
                  <c:v>6.6000000000000032</c:v>
                </c:pt>
                <c:pt idx="1">
                  <c:v>26.593159557660421</c:v>
                </c:pt>
                <c:pt idx="2">
                  <c:v>27.253256732823811</c:v>
                </c:pt>
                <c:pt idx="3">
                  <c:v>27.953339528875972</c:v>
                </c:pt>
                <c:pt idx="4">
                  <c:v>28.69340794581689</c:v>
                </c:pt>
                <c:pt idx="5">
                  <c:v>29.47346198364658</c:v>
                </c:pt>
                <c:pt idx="6">
                  <c:v>30.29350164236503</c:v>
                </c:pt>
                <c:pt idx="7">
                  <c:v>31.153526921972247</c:v>
                </c:pt>
                <c:pt idx="8">
                  <c:v>32.053537822468229</c:v>
                </c:pt>
                <c:pt idx="9">
                  <c:v>32.993534343852971</c:v>
                </c:pt>
                <c:pt idx="10">
                  <c:v>33.973516486126485</c:v>
                </c:pt>
                <c:pt idx="11">
                  <c:v>34.993484249288763</c:v>
                </c:pt>
                <c:pt idx="12">
                  <c:v>36.053437633339804</c:v>
                </c:pt>
                <c:pt idx="13">
                  <c:v>37.15337663827961</c:v>
                </c:pt>
                <c:pt idx="14">
                  <c:v>38.293301264108187</c:v>
                </c:pt>
                <c:pt idx="15">
                  <c:v>39.473211510825521</c:v>
                </c:pt>
                <c:pt idx="16">
                  <c:v>40.69310737843162</c:v>
                </c:pt>
                <c:pt idx="17">
                  <c:v>41.952988866926489</c:v>
                </c:pt>
                <c:pt idx="18">
                  <c:v>43.252855976310123</c:v>
                </c:pt>
                <c:pt idx="19">
                  <c:v>44.592708706582528</c:v>
                </c:pt>
                <c:pt idx="20">
                  <c:v>45.972547057743682</c:v>
                </c:pt>
                <c:pt idx="21">
                  <c:v>47.392371029793615</c:v>
                </c:pt>
                <c:pt idx="22">
                  <c:v>48.852180622732305</c:v>
                </c:pt>
                <c:pt idx="23">
                  <c:v>50.35197583655976</c:v>
                </c:pt>
                <c:pt idx="24">
                  <c:v>51.891756671275992</c:v>
                </c:pt>
                <c:pt idx="25">
                  <c:v>53.471523126880975</c:v>
                </c:pt>
                <c:pt idx="26">
                  <c:v>55.091275203374721</c:v>
                </c:pt>
                <c:pt idx="27">
                  <c:v>56.751012900757246</c:v>
                </c:pt>
                <c:pt idx="28">
                  <c:v>58.450736219028521</c:v>
                </c:pt>
                <c:pt idx="29">
                  <c:v>60.190445158188567</c:v>
                </c:pt>
                <c:pt idx="30">
                  <c:v>61.970139718237391</c:v>
                </c:pt>
                <c:pt idx="31">
                  <c:v>63.789819899174965</c:v>
                </c:pt>
                <c:pt idx="32">
                  <c:v>65.649485701001311</c:v>
                </c:pt>
                <c:pt idx="33">
                  <c:v>67.549137123716406</c:v>
                </c:pt>
                <c:pt idx="34">
                  <c:v>69.488774167320287</c:v>
                </c:pt>
                <c:pt idx="35">
                  <c:v>71.468396831812925</c:v>
                </c:pt>
                <c:pt idx="36">
                  <c:v>73.488005117194334</c:v>
                </c:pt>
                <c:pt idx="37">
                  <c:v>75.5475990234645</c:v>
                </c:pt>
                <c:pt idx="38">
                  <c:v>77.647178550623437</c:v>
                </c:pt>
                <c:pt idx="39">
                  <c:v>79.786743698671131</c:v>
                </c:pt>
                <c:pt idx="40">
                  <c:v>81.966294467607597</c:v>
                </c:pt>
                <c:pt idx="41">
                  <c:v>84.185830857432805</c:v>
                </c:pt>
                <c:pt idx="42">
                  <c:v>86.445352868146784</c:v>
                </c:pt>
                <c:pt idx="43">
                  <c:v>88.744860499749535</c:v>
                </c:pt>
                <c:pt idx="44">
                  <c:v>91.084353752241043</c:v>
                </c:pt>
                <c:pt idx="45">
                  <c:v>93.463832625621336</c:v>
                </c:pt>
                <c:pt idx="46">
                  <c:v>95.883297119890372</c:v>
                </c:pt>
                <c:pt idx="47">
                  <c:v>98.342747235048179</c:v>
                </c:pt>
                <c:pt idx="48">
                  <c:v>100.84218297109474</c:v>
                </c:pt>
                <c:pt idx="49">
                  <c:v>103.38160432803008</c:v>
                </c:pt>
                <c:pt idx="50">
                  <c:v>105.96101130585419</c:v>
                </c:pt>
                <c:pt idx="51">
                  <c:v>108.58040390456705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D5E-4561-B792-401913D11507}"/>
            </c:ext>
          </c:extLst>
        </c:ser>
        <c:ser>
          <c:idx val="35"/>
          <c:order val="35"/>
          <c:spPr>
            <a:ln w="952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val>
            <c:numRef>
              <c:f>'Нелинейная поверхность'!$B$39:$BA$39</c:f>
              <c:numCache>
                <c:formatCode>General</c:formatCode>
                <c:ptCount val="52"/>
                <c:pt idx="0">
                  <c:v>6.8000000000000034</c:v>
                </c:pt>
                <c:pt idx="1">
                  <c:v>27.892439567901913</c:v>
                </c:pt>
                <c:pt idx="2">
                  <c:v>28.570612033997623</c:v>
                </c:pt>
                <c:pt idx="3">
                  <c:v>29.2887701209821</c:v>
                </c:pt>
                <c:pt idx="4">
                  <c:v>30.046913828855345</c:v>
                </c:pt>
                <c:pt idx="5">
                  <c:v>30.845043157617351</c:v>
                </c:pt>
                <c:pt idx="6">
                  <c:v>31.683158107268124</c:v>
                </c:pt>
                <c:pt idx="7">
                  <c:v>32.561258677807658</c:v>
                </c:pt>
                <c:pt idx="8">
                  <c:v>33.479344869235959</c:v>
                </c:pt>
                <c:pt idx="9">
                  <c:v>34.437416681553032</c:v>
                </c:pt>
                <c:pt idx="10">
                  <c:v>35.435474114758861</c:v>
                </c:pt>
                <c:pt idx="11">
                  <c:v>36.473517168853455</c:v>
                </c:pt>
                <c:pt idx="12">
                  <c:v>37.55154584383682</c:v>
                </c:pt>
                <c:pt idx="13">
                  <c:v>38.669560139708942</c:v>
                </c:pt>
                <c:pt idx="14">
                  <c:v>39.827560056469835</c:v>
                </c:pt>
                <c:pt idx="15">
                  <c:v>41.025545594119492</c:v>
                </c:pt>
                <c:pt idx="16">
                  <c:v>42.263516752657921</c:v>
                </c:pt>
                <c:pt idx="17">
                  <c:v>43.541473532085107</c:v>
                </c:pt>
                <c:pt idx="18">
                  <c:v>44.859415932401056</c:v>
                </c:pt>
                <c:pt idx="19">
                  <c:v>46.217343953605777</c:v>
                </c:pt>
                <c:pt idx="20">
                  <c:v>47.615257595699255</c:v>
                </c:pt>
                <c:pt idx="21">
                  <c:v>49.053156858681504</c:v>
                </c:pt>
                <c:pt idx="22">
                  <c:v>50.53104174255251</c:v>
                </c:pt>
                <c:pt idx="23">
                  <c:v>52.048912247312288</c:v>
                </c:pt>
                <c:pt idx="24">
                  <c:v>53.606768372960843</c:v>
                </c:pt>
                <c:pt idx="25">
                  <c:v>55.204610119498149</c:v>
                </c:pt>
                <c:pt idx="26">
                  <c:v>56.842437486924219</c:v>
                </c:pt>
                <c:pt idx="27">
                  <c:v>58.520250475239052</c:v>
                </c:pt>
                <c:pt idx="28">
                  <c:v>60.23804908444265</c:v>
                </c:pt>
                <c:pt idx="29">
                  <c:v>61.99583331453502</c:v>
                </c:pt>
                <c:pt idx="30">
                  <c:v>63.79360316551616</c:v>
                </c:pt>
                <c:pt idx="31">
                  <c:v>65.631358637386057</c:v>
                </c:pt>
                <c:pt idx="32">
                  <c:v>67.509099730144726</c:v>
                </c:pt>
                <c:pt idx="33">
                  <c:v>69.426826443792152</c:v>
                </c:pt>
                <c:pt idx="34">
                  <c:v>71.384538778328348</c:v>
                </c:pt>
                <c:pt idx="35">
                  <c:v>73.382236733753302</c:v>
                </c:pt>
                <c:pt idx="36">
                  <c:v>75.419920310067027</c:v>
                </c:pt>
                <c:pt idx="37">
                  <c:v>77.49758950726951</c:v>
                </c:pt>
                <c:pt idx="38">
                  <c:v>79.615244325360763</c:v>
                </c:pt>
                <c:pt idx="39">
                  <c:v>81.772884764340773</c:v>
                </c:pt>
                <c:pt idx="40">
                  <c:v>83.970510824209569</c:v>
                </c:pt>
                <c:pt idx="41">
                  <c:v>86.208122504967108</c:v>
                </c:pt>
                <c:pt idx="42">
                  <c:v>88.485719806613417</c:v>
                </c:pt>
                <c:pt idx="43">
                  <c:v>90.80330272914847</c:v>
                </c:pt>
                <c:pt idx="44">
                  <c:v>93.160871272572308</c:v>
                </c:pt>
                <c:pt idx="45">
                  <c:v>95.558425436884903</c:v>
                </c:pt>
                <c:pt idx="46">
                  <c:v>97.995965222086269</c:v>
                </c:pt>
                <c:pt idx="47">
                  <c:v>100.47349062817641</c:v>
                </c:pt>
                <c:pt idx="48">
                  <c:v>102.99100165515529</c:v>
                </c:pt>
                <c:pt idx="49">
                  <c:v>105.54849830302294</c:v>
                </c:pt>
                <c:pt idx="50">
                  <c:v>108.14598057177936</c:v>
                </c:pt>
                <c:pt idx="51">
                  <c:v>110.78344846142454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D5E-4561-B792-401913D11507}"/>
            </c:ext>
          </c:extLst>
        </c:ser>
        <c:ser>
          <c:idx val="36"/>
          <c:order val="36"/>
          <c:spPr>
            <a:ln w="952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поверхность'!$B$40:$BA$40</c:f>
              <c:numCache>
                <c:formatCode>General</c:formatCode>
                <c:ptCount val="52"/>
                <c:pt idx="0">
                  <c:v>7.0000000000000036</c:v>
                </c:pt>
                <c:pt idx="1">
                  <c:v>29.227181208676505</c:v>
                </c:pt>
                <c:pt idx="2">
                  <c:v>29.923428965704538</c:v>
                </c:pt>
                <c:pt idx="3">
                  <c:v>30.659662343621338</c:v>
                </c:pt>
                <c:pt idx="4">
                  <c:v>31.435881342426896</c:v>
                </c:pt>
                <c:pt idx="5">
                  <c:v>32.252085962121228</c:v>
                </c:pt>
                <c:pt idx="6">
                  <c:v>33.108276202704317</c:v>
                </c:pt>
                <c:pt idx="7">
                  <c:v>34.004452064176171</c:v>
                </c:pt>
                <c:pt idx="8">
                  <c:v>34.940613546536795</c:v>
                </c:pt>
                <c:pt idx="9">
                  <c:v>35.916760649786184</c:v>
                </c:pt>
                <c:pt idx="10">
                  <c:v>36.932893373924337</c:v>
                </c:pt>
                <c:pt idx="11">
                  <c:v>37.989011718951247</c:v>
                </c:pt>
                <c:pt idx="12">
                  <c:v>39.085115684866935</c:v>
                </c:pt>
                <c:pt idx="13">
                  <c:v>40.22120527167138</c:v>
                </c:pt>
                <c:pt idx="14">
                  <c:v>41.397280479364596</c:v>
                </c:pt>
                <c:pt idx="15">
                  <c:v>42.613341307946563</c:v>
                </c:pt>
                <c:pt idx="16">
                  <c:v>43.869387757417314</c:v>
                </c:pt>
                <c:pt idx="17">
                  <c:v>45.165419827776823</c:v>
                </c:pt>
                <c:pt idx="18">
                  <c:v>46.501437519025089</c:v>
                </c:pt>
                <c:pt idx="19">
                  <c:v>47.877440831162133</c:v>
                </c:pt>
                <c:pt idx="20">
                  <c:v>49.293429764187934</c:v>
                </c:pt>
                <c:pt idx="21">
                  <c:v>50.749404318102499</c:v>
                </c:pt>
                <c:pt idx="22">
                  <c:v>52.245364492905829</c:v>
                </c:pt>
                <c:pt idx="23">
                  <c:v>53.781310288597929</c:v>
                </c:pt>
                <c:pt idx="24">
                  <c:v>55.357241705178794</c:v>
                </c:pt>
                <c:pt idx="25">
                  <c:v>56.973158742648415</c:v>
                </c:pt>
                <c:pt idx="26">
                  <c:v>58.629061401006808</c:v>
                </c:pt>
                <c:pt idx="27">
                  <c:v>60.324949680253965</c:v>
                </c:pt>
                <c:pt idx="28">
                  <c:v>62.060823580389894</c:v>
                </c:pt>
                <c:pt idx="29">
                  <c:v>63.836683101414579</c:v>
                </c:pt>
                <c:pt idx="30">
                  <c:v>65.652528243328035</c:v>
                </c:pt>
                <c:pt idx="31">
                  <c:v>67.508359006130249</c:v>
                </c:pt>
                <c:pt idx="32">
                  <c:v>69.404175389821233</c:v>
                </c:pt>
                <c:pt idx="33">
                  <c:v>71.339977394400989</c:v>
                </c:pt>
                <c:pt idx="34">
                  <c:v>73.315765019869502</c:v>
                </c:pt>
                <c:pt idx="35">
                  <c:v>75.331538266226772</c:v>
                </c:pt>
                <c:pt idx="36">
                  <c:v>77.387297133472813</c:v>
                </c:pt>
                <c:pt idx="37">
                  <c:v>79.483041621607626</c:v>
                </c:pt>
                <c:pt idx="38">
                  <c:v>81.618771730631209</c:v>
                </c:pt>
                <c:pt idx="39">
                  <c:v>83.794487460543536</c:v>
                </c:pt>
                <c:pt idx="40">
                  <c:v>86.010188811344648</c:v>
                </c:pt>
                <c:pt idx="41">
                  <c:v>88.265875783034502</c:v>
                </c:pt>
                <c:pt idx="42">
                  <c:v>90.561548375613114</c:v>
                </c:pt>
                <c:pt idx="43">
                  <c:v>92.897206589080511</c:v>
                </c:pt>
                <c:pt idx="44">
                  <c:v>95.272850423436665</c:v>
                </c:pt>
                <c:pt idx="45">
                  <c:v>97.688479878681576</c:v>
                </c:pt>
                <c:pt idx="46">
                  <c:v>100.14409495481526</c:v>
                </c:pt>
                <c:pt idx="47">
                  <c:v>102.63969565183771</c:v>
                </c:pt>
                <c:pt idx="48">
                  <c:v>105.17528196974891</c:v>
                </c:pt>
                <c:pt idx="49">
                  <c:v>107.7508539085489</c:v>
                </c:pt>
                <c:pt idx="50">
                  <c:v>110.36641146823766</c:v>
                </c:pt>
                <c:pt idx="51">
                  <c:v>113.02195464881514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D5E-4561-B792-401913D11507}"/>
            </c:ext>
          </c:extLst>
        </c:ser>
        <c:ser>
          <c:idx val="37"/>
          <c:order val="37"/>
          <c:spPr>
            <a:ln w="952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поверхность'!$B$41:$BA$41</c:f>
              <c:numCache>
                <c:formatCode>General</c:formatCode>
                <c:ptCount val="52"/>
                <c:pt idx="0">
                  <c:v>7.2000000000000037</c:v>
                </c:pt>
                <c:pt idx="1">
                  <c:v>30.5973844799842</c:v>
                </c:pt>
                <c:pt idx="2">
                  <c:v>31.311707527944549</c:v>
                </c:pt>
                <c:pt idx="3">
                  <c:v>32.066016196793669</c:v>
                </c:pt>
                <c:pt idx="4">
                  <c:v>32.860310486531553</c:v>
                </c:pt>
                <c:pt idx="5">
                  <c:v>33.694590397158201</c:v>
                </c:pt>
                <c:pt idx="6">
                  <c:v>34.568855928673614</c:v>
                </c:pt>
                <c:pt idx="7">
                  <c:v>35.48310708107779</c:v>
                </c:pt>
                <c:pt idx="8">
                  <c:v>36.437343854370724</c:v>
                </c:pt>
                <c:pt idx="9">
                  <c:v>37.431566248552436</c:v>
                </c:pt>
                <c:pt idx="10">
                  <c:v>38.465774263622905</c:v>
                </c:pt>
                <c:pt idx="11">
                  <c:v>39.539967899582145</c:v>
                </c:pt>
                <c:pt idx="12">
                  <c:v>40.654147156430142</c:v>
                </c:pt>
                <c:pt idx="13">
                  <c:v>41.808312034166917</c:v>
                </c:pt>
                <c:pt idx="14">
                  <c:v>43.00246253279245</c:v>
                </c:pt>
                <c:pt idx="15">
                  <c:v>44.236598652306746</c:v>
                </c:pt>
                <c:pt idx="16">
                  <c:v>45.510720392709807</c:v>
                </c:pt>
                <c:pt idx="17">
                  <c:v>46.824827754001632</c:v>
                </c:pt>
                <c:pt idx="18">
                  <c:v>48.178920736182228</c:v>
                </c:pt>
                <c:pt idx="19">
                  <c:v>49.572999339251581</c:v>
                </c:pt>
                <c:pt idx="20">
                  <c:v>51.007063563209712</c:v>
                </c:pt>
                <c:pt idx="21">
                  <c:v>52.481113408056586</c:v>
                </c:pt>
                <c:pt idx="22">
                  <c:v>53.995148873792246</c:v>
                </c:pt>
                <c:pt idx="23">
                  <c:v>55.549169960416663</c:v>
                </c:pt>
                <c:pt idx="24">
                  <c:v>57.143176667929851</c:v>
                </c:pt>
                <c:pt idx="25">
                  <c:v>58.777168996331795</c:v>
                </c:pt>
                <c:pt idx="26">
                  <c:v>60.451146945622504</c:v>
                </c:pt>
                <c:pt idx="27">
                  <c:v>62.165110515801985</c:v>
                </c:pt>
                <c:pt idx="28">
                  <c:v>63.919059706870229</c:v>
                </c:pt>
                <c:pt idx="29">
                  <c:v>65.71299451882723</c:v>
                </c:pt>
                <c:pt idx="30">
                  <c:v>67.546914951673017</c:v>
                </c:pt>
                <c:pt idx="31">
                  <c:v>69.420821005407547</c:v>
                </c:pt>
                <c:pt idx="32">
                  <c:v>71.334712680030862</c:v>
                </c:pt>
                <c:pt idx="33">
                  <c:v>73.288589975542919</c:v>
                </c:pt>
                <c:pt idx="34">
                  <c:v>75.282452891943748</c:v>
                </c:pt>
                <c:pt idx="35">
                  <c:v>77.316301429233363</c:v>
                </c:pt>
                <c:pt idx="36">
                  <c:v>79.39013558741172</c:v>
                </c:pt>
                <c:pt idx="37">
                  <c:v>81.503955366478849</c:v>
                </c:pt>
                <c:pt idx="38">
                  <c:v>83.657760766434734</c:v>
                </c:pt>
                <c:pt idx="39">
                  <c:v>85.851551787279391</c:v>
                </c:pt>
                <c:pt idx="40">
                  <c:v>88.085328429012819</c:v>
                </c:pt>
                <c:pt idx="41">
                  <c:v>90.359090691634989</c:v>
                </c:pt>
                <c:pt idx="42">
                  <c:v>92.672838575145946</c:v>
                </c:pt>
                <c:pt idx="43">
                  <c:v>95.026572079545659</c:v>
                </c:pt>
                <c:pt idx="44">
                  <c:v>97.420291204834129</c:v>
                </c:pt>
                <c:pt idx="45">
                  <c:v>99.853995951011356</c:v>
                </c:pt>
                <c:pt idx="46">
                  <c:v>102.32768631807737</c:v>
                </c:pt>
                <c:pt idx="47">
                  <c:v>104.84136230603212</c:v>
                </c:pt>
                <c:pt idx="48">
                  <c:v>107.39502391487565</c:v>
                </c:pt>
                <c:pt idx="49">
                  <c:v>109.98867114460793</c:v>
                </c:pt>
                <c:pt idx="50">
                  <c:v>112.622303995229</c:v>
                </c:pt>
                <c:pt idx="51">
                  <c:v>115.29592246673883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D5E-4561-B792-401913D11507}"/>
            </c:ext>
          </c:extLst>
        </c:ser>
        <c:ser>
          <c:idx val="38"/>
          <c:order val="38"/>
          <c:spPr>
            <a:ln w="952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поверхность'!$B$42:$BA$42</c:f>
              <c:numCache>
                <c:formatCode>General</c:formatCode>
                <c:ptCount val="52"/>
                <c:pt idx="0">
                  <c:v>7.4000000000000039</c:v>
                </c:pt>
                <c:pt idx="1">
                  <c:v>32.003049381824994</c:v>
                </c:pt>
                <c:pt idx="2">
                  <c:v>32.735447720717666</c:v>
                </c:pt>
                <c:pt idx="3">
                  <c:v>33.507831680499109</c:v>
                </c:pt>
                <c:pt idx="4">
                  <c:v>34.320201261169302</c:v>
                </c:pt>
                <c:pt idx="5">
                  <c:v>35.172556462728274</c:v>
                </c:pt>
                <c:pt idx="6">
                  <c:v>36.064897285176002</c:v>
                </c:pt>
                <c:pt idx="7">
                  <c:v>36.997223728512502</c:v>
                </c:pt>
                <c:pt idx="8">
                  <c:v>37.969535792737759</c:v>
                </c:pt>
                <c:pt idx="9">
                  <c:v>38.981833477851787</c:v>
                </c:pt>
                <c:pt idx="10">
                  <c:v>40.034116783854579</c:v>
                </c:pt>
                <c:pt idx="11">
                  <c:v>41.126385710746135</c:v>
                </c:pt>
                <c:pt idx="12">
                  <c:v>42.258640258526455</c:v>
                </c:pt>
                <c:pt idx="13">
                  <c:v>43.43088042719554</c:v>
                </c:pt>
                <c:pt idx="14">
                  <c:v>44.643106216753395</c:v>
                </c:pt>
                <c:pt idx="15">
                  <c:v>45.895317627200022</c:v>
                </c:pt>
                <c:pt idx="16">
                  <c:v>47.187514658535399</c:v>
                </c:pt>
                <c:pt idx="17">
                  <c:v>48.519697310759547</c:v>
                </c:pt>
                <c:pt idx="18">
                  <c:v>49.891865583872459</c:v>
                </c:pt>
                <c:pt idx="19">
                  <c:v>51.304019477874135</c:v>
                </c:pt>
                <c:pt idx="20">
                  <c:v>52.756158992764583</c:v>
                </c:pt>
                <c:pt idx="21">
                  <c:v>54.248284128543787</c:v>
                </c:pt>
                <c:pt idx="22">
                  <c:v>55.780394885211756</c:v>
                </c:pt>
                <c:pt idx="23">
                  <c:v>57.352491262768496</c:v>
                </c:pt>
                <c:pt idx="24">
                  <c:v>58.964573261213999</c:v>
                </c:pt>
                <c:pt idx="25">
                  <c:v>60.616640880548275</c:v>
                </c:pt>
                <c:pt idx="26">
                  <c:v>62.3086941207713</c:v>
                </c:pt>
                <c:pt idx="27">
                  <c:v>64.04073298188311</c:v>
                </c:pt>
                <c:pt idx="28">
                  <c:v>65.812757463883656</c:v>
                </c:pt>
                <c:pt idx="29">
                  <c:v>67.624767566772988</c:v>
                </c:pt>
                <c:pt idx="30">
                  <c:v>69.476763290551091</c:v>
                </c:pt>
                <c:pt idx="31">
                  <c:v>71.368744635217936</c:v>
                </c:pt>
                <c:pt idx="32">
                  <c:v>73.300711600773568</c:v>
                </c:pt>
                <c:pt idx="33">
                  <c:v>75.272664187217956</c:v>
                </c:pt>
                <c:pt idx="34">
                  <c:v>77.284602394551115</c:v>
                </c:pt>
                <c:pt idx="35">
                  <c:v>79.336526222773031</c:v>
                </c:pt>
                <c:pt idx="36">
                  <c:v>81.428435671883705</c:v>
                </c:pt>
                <c:pt idx="37">
                  <c:v>83.560330741883163</c:v>
                </c:pt>
                <c:pt idx="38">
                  <c:v>85.732211432771365</c:v>
                </c:pt>
                <c:pt idx="39">
                  <c:v>87.944077744548352</c:v>
                </c:pt>
                <c:pt idx="40">
                  <c:v>90.195929677214096</c:v>
                </c:pt>
                <c:pt idx="41">
                  <c:v>92.487767230768583</c:v>
                </c:pt>
                <c:pt idx="42">
                  <c:v>94.819590405211869</c:v>
                </c:pt>
                <c:pt idx="43">
                  <c:v>97.191399200543884</c:v>
                </c:pt>
                <c:pt idx="44">
                  <c:v>99.603193616764685</c:v>
                </c:pt>
                <c:pt idx="45">
                  <c:v>102.05497365387423</c:v>
                </c:pt>
                <c:pt idx="46">
                  <c:v>104.54673931187256</c:v>
                </c:pt>
                <c:pt idx="47">
                  <c:v>107.07849059075966</c:v>
                </c:pt>
                <c:pt idx="48">
                  <c:v>109.6502274905355</c:v>
                </c:pt>
                <c:pt idx="49">
                  <c:v>112.26195001120011</c:v>
                </c:pt>
                <c:pt idx="50">
                  <c:v>114.91365815275348</c:v>
                </c:pt>
                <c:pt idx="51">
                  <c:v>117.60535191519563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D5E-4561-B792-401913D11507}"/>
            </c:ext>
          </c:extLst>
        </c:ser>
        <c:ser>
          <c:idx val="39"/>
          <c:order val="39"/>
          <c:spPr>
            <a:ln w="952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поверхность'!$B$43:$BA$43</c:f>
              <c:numCache>
                <c:formatCode>General</c:formatCode>
                <c:ptCount val="52"/>
                <c:pt idx="0">
                  <c:v>7.6000000000000041</c:v>
                </c:pt>
                <c:pt idx="1">
                  <c:v>33.444175914198887</c:v>
                </c:pt>
                <c:pt idx="2">
                  <c:v>34.194649544023882</c:v>
                </c:pt>
                <c:pt idx="3">
                  <c:v>34.985108794737641</c:v>
                </c:pt>
                <c:pt idx="4">
                  <c:v>35.815553666340158</c:v>
                </c:pt>
                <c:pt idx="5">
                  <c:v>36.685984158831445</c:v>
                </c:pt>
                <c:pt idx="6">
                  <c:v>37.596400272211504</c:v>
                </c:pt>
                <c:pt idx="7">
                  <c:v>38.54680200648032</c:v>
                </c:pt>
                <c:pt idx="8">
                  <c:v>39.537189361637893</c:v>
                </c:pt>
                <c:pt idx="9">
                  <c:v>40.567562337684244</c:v>
                </c:pt>
                <c:pt idx="10">
                  <c:v>41.637920934619359</c:v>
                </c:pt>
                <c:pt idx="11">
                  <c:v>42.748265152443231</c:v>
                </c:pt>
                <c:pt idx="12">
                  <c:v>43.898594991155875</c:v>
                </c:pt>
                <c:pt idx="13">
                  <c:v>45.088910450757282</c:v>
                </c:pt>
                <c:pt idx="14">
                  <c:v>46.319211531247454</c:v>
                </c:pt>
                <c:pt idx="15">
                  <c:v>47.58949823262639</c:v>
                </c:pt>
                <c:pt idx="16">
                  <c:v>48.899770554894097</c:v>
                </c:pt>
                <c:pt idx="17">
                  <c:v>50.250028498050568</c:v>
                </c:pt>
                <c:pt idx="18">
                  <c:v>51.640272062095796</c:v>
                </c:pt>
                <c:pt idx="19">
                  <c:v>53.070501247029796</c:v>
                </c:pt>
                <c:pt idx="20">
                  <c:v>54.540716052852559</c:v>
                </c:pt>
                <c:pt idx="21">
                  <c:v>56.050916479564087</c:v>
                </c:pt>
                <c:pt idx="22">
                  <c:v>57.601102527164372</c:v>
                </c:pt>
                <c:pt idx="23">
                  <c:v>59.191274195653435</c:v>
                </c:pt>
                <c:pt idx="24">
                  <c:v>60.821431485031269</c:v>
                </c:pt>
                <c:pt idx="25">
                  <c:v>62.491574395297853</c:v>
                </c:pt>
                <c:pt idx="26">
                  <c:v>64.201702926453194</c:v>
                </c:pt>
                <c:pt idx="27">
                  <c:v>65.951817078497314</c:v>
                </c:pt>
                <c:pt idx="28">
                  <c:v>67.741916851430204</c:v>
                </c:pt>
                <c:pt idx="29">
                  <c:v>69.572002245251852</c:v>
                </c:pt>
                <c:pt idx="30">
                  <c:v>71.442073259962257</c:v>
                </c:pt>
                <c:pt idx="31">
                  <c:v>73.352129895561447</c:v>
                </c:pt>
                <c:pt idx="32">
                  <c:v>75.302172152049394</c:v>
                </c:pt>
                <c:pt idx="33">
                  <c:v>77.292200029426084</c:v>
                </c:pt>
                <c:pt idx="34">
                  <c:v>79.322213527691574</c:v>
                </c:pt>
                <c:pt idx="35">
                  <c:v>81.392212646845792</c:v>
                </c:pt>
                <c:pt idx="36">
                  <c:v>83.50219738688881</c:v>
                </c:pt>
                <c:pt idx="37">
                  <c:v>85.652167747820585</c:v>
                </c:pt>
                <c:pt idx="38">
                  <c:v>87.842123729641116</c:v>
                </c:pt>
                <c:pt idx="39">
                  <c:v>90.072065332350405</c:v>
                </c:pt>
                <c:pt idx="40">
                  <c:v>92.34199255594848</c:v>
                </c:pt>
                <c:pt idx="41">
                  <c:v>94.651905400435282</c:v>
                </c:pt>
                <c:pt idx="42">
                  <c:v>97.001803865810885</c:v>
                </c:pt>
                <c:pt idx="43">
                  <c:v>99.391687952075216</c:v>
                </c:pt>
                <c:pt idx="44">
                  <c:v>101.82155765922833</c:v>
                </c:pt>
                <c:pt idx="45">
                  <c:v>104.29141298727021</c:v>
                </c:pt>
                <c:pt idx="46">
                  <c:v>106.80125393620085</c:v>
                </c:pt>
                <c:pt idx="47">
                  <c:v>109.35108050602025</c:v>
                </c:pt>
                <c:pt idx="48">
                  <c:v>111.94089269672843</c:v>
                </c:pt>
                <c:pt idx="49">
                  <c:v>114.57069050832536</c:v>
                </c:pt>
                <c:pt idx="50">
                  <c:v>117.24047394081107</c:v>
                </c:pt>
                <c:pt idx="51">
                  <c:v>119.95024299418554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D5E-4561-B792-401913D11507}"/>
            </c:ext>
          </c:extLst>
        </c:ser>
        <c:ser>
          <c:idx val="40"/>
          <c:order val="40"/>
          <c:spPr>
            <a:ln w="952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поверхность'!$B$44:$BA$44</c:f>
              <c:numCache>
                <c:formatCode>General</c:formatCode>
                <c:ptCount val="52"/>
                <c:pt idx="0">
                  <c:v>7.8000000000000043</c:v>
                </c:pt>
                <c:pt idx="1">
                  <c:v>34.920764077105886</c:v>
                </c:pt>
                <c:pt idx="2">
                  <c:v>35.689312997863198</c:v>
                </c:pt>
                <c:pt idx="3">
                  <c:v>36.497847539509273</c:v>
                </c:pt>
                <c:pt idx="4">
                  <c:v>37.34636770204412</c:v>
                </c:pt>
                <c:pt idx="5">
                  <c:v>38.234873485467723</c:v>
                </c:pt>
                <c:pt idx="6">
                  <c:v>39.163364889780098</c:v>
                </c:pt>
                <c:pt idx="7">
                  <c:v>40.13184191498123</c:v>
                </c:pt>
                <c:pt idx="8">
                  <c:v>41.140304561071133</c:v>
                </c:pt>
                <c:pt idx="9">
                  <c:v>42.1887528280498</c:v>
                </c:pt>
                <c:pt idx="10">
                  <c:v>43.277186715917232</c:v>
                </c:pt>
                <c:pt idx="11">
                  <c:v>44.405606224673427</c:v>
                </c:pt>
                <c:pt idx="12">
                  <c:v>45.574011354318394</c:v>
                </c:pt>
                <c:pt idx="13">
                  <c:v>46.782402104852117</c:v>
                </c:pt>
                <c:pt idx="14">
                  <c:v>48.030778476274612</c:v>
                </c:pt>
                <c:pt idx="15">
                  <c:v>49.319140468585871</c:v>
                </c:pt>
                <c:pt idx="16">
                  <c:v>50.647488081785895</c:v>
                </c:pt>
                <c:pt idx="17">
                  <c:v>52.015821315874682</c:v>
                </c:pt>
                <c:pt idx="18">
                  <c:v>53.424140170852233</c:v>
                </c:pt>
                <c:pt idx="19">
                  <c:v>54.872444646718556</c:v>
                </c:pt>
                <c:pt idx="20">
                  <c:v>56.360734743473628</c:v>
                </c:pt>
                <c:pt idx="21">
                  <c:v>57.889010461117479</c:v>
                </c:pt>
                <c:pt idx="22">
                  <c:v>59.457271799650087</c:v>
                </c:pt>
                <c:pt idx="23">
                  <c:v>61.065518759071466</c:v>
                </c:pt>
                <c:pt idx="24">
                  <c:v>62.713751339381616</c:v>
                </c:pt>
                <c:pt idx="25">
                  <c:v>64.401969540580524</c:v>
                </c:pt>
                <c:pt idx="26">
                  <c:v>66.130173362668202</c:v>
                </c:pt>
                <c:pt idx="27">
                  <c:v>67.898362805644638</c:v>
                </c:pt>
                <c:pt idx="28">
                  <c:v>69.706537869509845</c:v>
                </c:pt>
                <c:pt idx="29">
                  <c:v>71.554698554263808</c:v>
                </c:pt>
                <c:pt idx="30">
                  <c:v>73.442844859906543</c:v>
                </c:pt>
                <c:pt idx="31">
                  <c:v>75.370976786438035</c:v>
                </c:pt>
                <c:pt idx="32">
                  <c:v>77.339094333858299</c:v>
                </c:pt>
                <c:pt idx="33">
                  <c:v>79.347197502167333</c:v>
                </c:pt>
                <c:pt idx="34">
                  <c:v>81.395286291365124</c:v>
                </c:pt>
                <c:pt idx="35">
                  <c:v>83.483360701451687</c:v>
                </c:pt>
                <c:pt idx="36">
                  <c:v>85.611420732427007</c:v>
                </c:pt>
                <c:pt idx="37">
                  <c:v>87.779466384291098</c:v>
                </c:pt>
                <c:pt idx="38">
                  <c:v>89.987497657043946</c:v>
                </c:pt>
                <c:pt idx="39">
                  <c:v>92.235514550685565</c:v>
                </c:pt>
                <c:pt idx="40">
                  <c:v>94.523517065215955</c:v>
                </c:pt>
                <c:pt idx="41">
                  <c:v>96.851505200635088</c:v>
                </c:pt>
                <c:pt idx="42">
                  <c:v>99.219478956942993</c:v>
                </c:pt>
                <c:pt idx="43">
                  <c:v>101.62743833413965</c:v>
                </c:pt>
                <c:pt idx="44">
                  <c:v>104.0753833322251</c:v>
                </c:pt>
                <c:pt idx="45">
                  <c:v>106.56331395119929</c:v>
                </c:pt>
                <c:pt idx="46">
                  <c:v>109.09123019106227</c:v>
                </c:pt>
                <c:pt idx="47">
                  <c:v>111.659132051814</c:v>
                </c:pt>
                <c:pt idx="48">
                  <c:v>114.26701953345447</c:v>
                </c:pt>
                <c:pt idx="49">
                  <c:v>116.91489263598372</c:v>
                </c:pt>
                <c:pt idx="50">
                  <c:v>119.60275135940174</c:v>
                </c:pt>
                <c:pt idx="51">
                  <c:v>122.33059570370852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D5E-4561-B792-401913D11507}"/>
            </c:ext>
          </c:extLst>
        </c:ser>
        <c:ser>
          <c:idx val="41"/>
          <c:order val="41"/>
          <c:spPr>
            <a:ln w="952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val>
            <c:numRef>
              <c:f>'Нелинейная поверхность'!$B$45:$BA$45</c:f>
              <c:numCache>
                <c:formatCode>General</c:formatCode>
                <c:ptCount val="52"/>
                <c:pt idx="0">
                  <c:v>8.0000000000000036</c:v>
                </c:pt>
                <c:pt idx="1">
                  <c:v>36.432813870545971</c:v>
                </c:pt>
                <c:pt idx="2">
                  <c:v>37.219438082235598</c:v>
                </c:pt>
                <c:pt idx="3">
                  <c:v>38.046047914813997</c:v>
                </c:pt>
                <c:pt idx="4">
                  <c:v>38.912643368281159</c:v>
                </c:pt>
                <c:pt idx="5">
                  <c:v>39.819224442637093</c:v>
                </c:pt>
                <c:pt idx="6">
                  <c:v>40.765791137881777</c:v>
                </c:pt>
                <c:pt idx="7">
                  <c:v>41.752343454015239</c:v>
                </c:pt>
                <c:pt idx="8">
                  <c:v>42.778881391037459</c:v>
                </c:pt>
                <c:pt idx="9">
                  <c:v>43.845404948948442</c:v>
                </c:pt>
                <c:pt idx="10">
                  <c:v>44.951914127748196</c:v>
                </c:pt>
                <c:pt idx="11">
                  <c:v>46.098408927436708</c:v>
                </c:pt>
                <c:pt idx="12">
                  <c:v>47.284889348013998</c:v>
                </c:pt>
                <c:pt idx="13">
                  <c:v>48.511355389480038</c:v>
                </c:pt>
                <c:pt idx="14">
                  <c:v>49.777807051834856</c:v>
                </c:pt>
                <c:pt idx="15">
                  <c:v>51.084244335078438</c:v>
                </c:pt>
                <c:pt idx="16">
                  <c:v>52.430667239210777</c:v>
                </c:pt>
                <c:pt idx="17">
                  <c:v>53.817075764231888</c:v>
                </c:pt>
                <c:pt idx="18">
                  <c:v>55.243469910141762</c:v>
                </c:pt>
                <c:pt idx="19">
                  <c:v>56.709849676940394</c:v>
                </c:pt>
                <c:pt idx="20">
                  <c:v>58.216215064627796</c:v>
                </c:pt>
                <c:pt idx="21">
                  <c:v>59.762566073203971</c:v>
                </c:pt>
                <c:pt idx="22">
                  <c:v>61.348902702668894</c:v>
                </c:pt>
                <c:pt idx="23">
                  <c:v>62.97522495302259</c:v>
                </c:pt>
                <c:pt idx="24">
                  <c:v>64.641532824265056</c:v>
                </c:pt>
                <c:pt idx="25">
                  <c:v>66.347826316396294</c:v>
                </c:pt>
                <c:pt idx="26">
                  <c:v>68.094105429416288</c:v>
                </c:pt>
                <c:pt idx="27">
                  <c:v>69.88037016332504</c:v>
                </c:pt>
                <c:pt idx="28">
                  <c:v>71.706620518122548</c:v>
                </c:pt>
                <c:pt idx="29">
                  <c:v>73.572856493808857</c:v>
                </c:pt>
                <c:pt idx="30">
                  <c:v>75.479078090383908</c:v>
                </c:pt>
                <c:pt idx="31">
                  <c:v>77.42528530784773</c:v>
                </c:pt>
                <c:pt idx="32">
                  <c:v>79.411478146200309</c:v>
                </c:pt>
                <c:pt idx="33">
                  <c:v>81.43765660544166</c:v>
                </c:pt>
                <c:pt idx="34">
                  <c:v>83.503820685571768</c:v>
                </c:pt>
                <c:pt idx="35">
                  <c:v>85.609970386590646</c:v>
                </c:pt>
                <c:pt idx="36">
                  <c:v>87.756105708498296</c:v>
                </c:pt>
                <c:pt idx="37">
                  <c:v>89.942226651294703</c:v>
                </c:pt>
                <c:pt idx="38">
                  <c:v>92.168333214979867</c:v>
                </c:pt>
                <c:pt idx="39">
                  <c:v>94.434425399553817</c:v>
                </c:pt>
                <c:pt idx="40">
                  <c:v>96.740503205016523</c:v>
                </c:pt>
                <c:pt idx="41">
                  <c:v>99.086566631367987</c:v>
                </c:pt>
                <c:pt idx="42">
                  <c:v>101.47261567860821</c:v>
                </c:pt>
                <c:pt idx="43">
                  <c:v>103.89865034673718</c:v>
                </c:pt>
                <c:pt idx="44">
                  <c:v>106.36467063575495</c:v>
                </c:pt>
                <c:pt idx="45">
                  <c:v>108.87067654566145</c:v>
                </c:pt>
                <c:pt idx="46">
                  <c:v>111.41666807645674</c:v>
                </c:pt>
                <c:pt idx="47">
                  <c:v>114.00264522814079</c:v>
                </c:pt>
                <c:pt idx="48">
                  <c:v>116.6286080007136</c:v>
                </c:pt>
                <c:pt idx="49">
                  <c:v>119.29455639417517</c:v>
                </c:pt>
                <c:pt idx="50">
                  <c:v>122.00049040852552</c:v>
                </c:pt>
                <c:pt idx="51">
                  <c:v>124.74641004376461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D5E-4561-B792-401913D11507}"/>
            </c:ext>
          </c:extLst>
        </c:ser>
        <c:ser>
          <c:idx val="42"/>
          <c:order val="42"/>
          <c:spPr>
            <a:ln w="952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поверхность'!$B$46:$BA$46</c:f>
              <c:numCache>
                <c:formatCode>General</c:formatCode>
                <c:ptCount val="52"/>
                <c:pt idx="0">
                  <c:v>8.2000000000000028</c:v>
                </c:pt>
                <c:pt idx="1">
                  <c:v>37.980325294519162</c:v>
                </c:pt>
                <c:pt idx="2">
                  <c:v>38.785024797141112</c:v>
                </c:pt>
                <c:pt idx="3">
                  <c:v>39.629709920651827</c:v>
                </c:pt>
                <c:pt idx="4">
                  <c:v>40.514380665051313</c:v>
                </c:pt>
                <c:pt idx="5">
                  <c:v>41.439037030339556</c:v>
                </c:pt>
                <c:pt idx="6">
                  <c:v>42.40367901651657</c:v>
                </c:pt>
                <c:pt idx="7">
                  <c:v>43.408306623582348</c:v>
                </c:pt>
                <c:pt idx="8">
                  <c:v>44.45291985153689</c:v>
                </c:pt>
                <c:pt idx="9">
                  <c:v>45.537518700380197</c:v>
                </c:pt>
                <c:pt idx="10">
                  <c:v>46.662103170112267</c:v>
                </c:pt>
                <c:pt idx="11">
                  <c:v>47.826673260733102</c:v>
                </c:pt>
                <c:pt idx="12">
                  <c:v>49.031228972242708</c:v>
                </c:pt>
                <c:pt idx="13">
                  <c:v>50.275770304641071</c:v>
                </c:pt>
                <c:pt idx="14">
                  <c:v>51.560297257928205</c:v>
                </c:pt>
                <c:pt idx="15">
                  <c:v>52.884809832104104</c:v>
                </c:pt>
                <c:pt idx="16">
                  <c:v>54.249308027168766</c:v>
                </c:pt>
                <c:pt idx="17">
                  <c:v>55.653791843122193</c:v>
                </c:pt>
                <c:pt idx="18">
                  <c:v>57.09826127996439</c:v>
                </c:pt>
                <c:pt idx="19">
                  <c:v>58.582716337695345</c:v>
                </c:pt>
                <c:pt idx="20">
                  <c:v>60.107157016315071</c:v>
                </c:pt>
                <c:pt idx="21">
                  <c:v>61.671583315823554</c:v>
                </c:pt>
                <c:pt idx="22">
                  <c:v>63.275995236220808</c:v>
                </c:pt>
                <c:pt idx="23">
                  <c:v>64.920392777506819</c:v>
                </c:pt>
                <c:pt idx="24">
                  <c:v>66.604775939681616</c:v>
                </c:pt>
                <c:pt idx="25">
                  <c:v>68.329144722745156</c:v>
                </c:pt>
                <c:pt idx="26">
                  <c:v>70.093499126697466</c:v>
                </c:pt>
                <c:pt idx="27">
                  <c:v>71.897839151538562</c:v>
                </c:pt>
                <c:pt idx="28">
                  <c:v>73.742164797268387</c:v>
                </c:pt>
                <c:pt idx="29">
                  <c:v>75.626476063886997</c:v>
                </c:pt>
                <c:pt idx="30">
                  <c:v>77.550772951394379</c:v>
                </c:pt>
                <c:pt idx="31">
                  <c:v>79.515055459790517</c:v>
                </c:pt>
                <c:pt idx="32">
                  <c:v>81.519323589075412</c:v>
                </c:pt>
                <c:pt idx="33">
                  <c:v>83.563577339249093</c:v>
                </c:pt>
                <c:pt idx="34">
                  <c:v>85.647816710311517</c:v>
                </c:pt>
                <c:pt idx="35">
                  <c:v>87.772041702262726</c:v>
                </c:pt>
                <c:pt idx="36">
                  <c:v>89.936252315102678</c:v>
                </c:pt>
                <c:pt idx="37">
                  <c:v>92.140448548831415</c:v>
                </c:pt>
                <c:pt idx="38">
                  <c:v>94.384630403448909</c:v>
                </c:pt>
                <c:pt idx="39">
                  <c:v>96.668797878955161</c:v>
                </c:pt>
                <c:pt idx="40">
                  <c:v>98.992950975350197</c:v>
                </c:pt>
                <c:pt idx="41">
                  <c:v>101.35708969263396</c:v>
                </c:pt>
                <c:pt idx="42">
                  <c:v>103.76121403080651</c:v>
                </c:pt>
                <c:pt idx="43">
                  <c:v>106.20532398986782</c:v>
                </c:pt>
                <c:pt idx="44">
                  <c:v>108.68941956981789</c:v>
                </c:pt>
                <c:pt idx="45">
                  <c:v>111.21350077065672</c:v>
                </c:pt>
                <c:pt idx="46">
                  <c:v>113.77756759238432</c:v>
                </c:pt>
                <c:pt idx="47">
                  <c:v>116.38162003500068</c:v>
                </c:pt>
                <c:pt idx="48">
                  <c:v>119.02565809850583</c:v>
                </c:pt>
                <c:pt idx="49">
                  <c:v>121.70968178289971</c:v>
                </c:pt>
                <c:pt idx="50">
                  <c:v>124.43369108818237</c:v>
                </c:pt>
                <c:pt idx="51">
                  <c:v>127.19768601435381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D5E-4561-B792-401913D11507}"/>
            </c:ext>
          </c:extLst>
        </c:ser>
        <c:ser>
          <c:idx val="43"/>
          <c:order val="43"/>
          <c:spPr>
            <a:ln w="952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поверхность'!$B$47:$BA$47</c:f>
              <c:numCache>
                <c:formatCode>General</c:formatCode>
                <c:ptCount val="52"/>
                <c:pt idx="0">
                  <c:v>8.4000000000000021</c:v>
                </c:pt>
                <c:pt idx="1">
                  <c:v>39.563298349025445</c:v>
                </c:pt>
                <c:pt idx="2">
                  <c:v>40.386073142579718</c:v>
                </c:pt>
                <c:pt idx="3">
                  <c:v>41.248833557022749</c:v>
                </c:pt>
                <c:pt idx="4">
                  <c:v>42.151579592354558</c:v>
                </c:pt>
                <c:pt idx="5">
                  <c:v>43.094311248575124</c:v>
                </c:pt>
                <c:pt idx="6">
                  <c:v>44.077028525684455</c:v>
                </c:pt>
                <c:pt idx="7">
                  <c:v>45.099731423682549</c:v>
                </c:pt>
                <c:pt idx="8">
                  <c:v>46.162419942569414</c:v>
                </c:pt>
                <c:pt idx="9">
                  <c:v>47.265094082345037</c:v>
                </c:pt>
                <c:pt idx="10">
                  <c:v>48.407753843009431</c:v>
                </c:pt>
                <c:pt idx="11">
                  <c:v>49.590399224562582</c:v>
                </c:pt>
                <c:pt idx="12">
                  <c:v>50.813030227004511</c:v>
                </c:pt>
                <c:pt idx="13">
                  <c:v>52.07564685033519</c:v>
                </c:pt>
                <c:pt idx="14">
                  <c:v>53.378249094554647</c:v>
                </c:pt>
                <c:pt idx="15">
                  <c:v>54.720836959662869</c:v>
                </c:pt>
                <c:pt idx="16">
                  <c:v>56.103410445659847</c:v>
                </c:pt>
                <c:pt idx="17">
                  <c:v>57.525969552545597</c:v>
                </c:pt>
                <c:pt idx="18">
                  <c:v>58.988514280320118</c:v>
                </c:pt>
                <c:pt idx="19">
                  <c:v>60.491044628983389</c:v>
                </c:pt>
                <c:pt idx="20">
                  <c:v>62.033560598535431</c:v>
                </c:pt>
                <c:pt idx="21">
                  <c:v>63.616062188976244</c:v>
                </c:pt>
                <c:pt idx="22">
                  <c:v>65.2385494003058</c:v>
                </c:pt>
                <c:pt idx="23">
                  <c:v>66.901022232524156</c:v>
                </c:pt>
                <c:pt idx="24">
                  <c:v>68.603480685631254</c:v>
                </c:pt>
                <c:pt idx="25">
                  <c:v>70.345924759627124</c:v>
                </c:pt>
                <c:pt idx="26">
                  <c:v>72.128354454511751</c:v>
                </c:pt>
                <c:pt idx="27">
                  <c:v>73.950769770285163</c:v>
                </c:pt>
                <c:pt idx="28">
                  <c:v>75.813170706947318</c:v>
                </c:pt>
                <c:pt idx="29">
                  <c:v>77.715557264498244</c:v>
                </c:pt>
                <c:pt idx="30">
                  <c:v>79.657929442937942</c:v>
                </c:pt>
                <c:pt idx="31">
                  <c:v>81.640287242266396</c:v>
                </c:pt>
                <c:pt idx="32">
                  <c:v>83.662630662483622</c:v>
                </c:pt>
                <c:pt idx="33">
                  <c:v>85.724959703589619</c:v>
                </c:pt>
                <c:pt idx="34">
                  <c:v>87.827274365584373</c:v>
                </c:pt>
                <c:pt idx="35">
                  <c:v>89.969574648467884</c:v>
                </c:pt>
                <c:pt idx="36">
                  <c:v>92.151860552240166</c:v>
                </c:pt>
                <c:pt idx="37">
                  <c:v>94.374132076901219</c:v>
                </c:pt>
                <c:pt idx="38">
                  <c:v>96.636389222451029</c:v>
                </c:pt>
                <c:pt idx="39">
                  <c:v>98.938631988889597</c:v>
                </c:pt>
                <c:pt idx="40">
                  <c:v>101.28086037621696</c:v>
                </c:pt>
                <c:pt idx="41">
                  <c:v>103.66307438443306</c:v>
                </c:pt>
                <c:pt idx="42">
                  <c:v>106.08527401353791</c:v>
                </c:pt>
                <c:pt idx="43">
                  <c:v>108.54745926353154</c:v>
                </c:pt>
                <c:pt idx="44">
                  <c:v>111.04963013441392</c:v>
                </c:pt>
                <c:pt idx="45">
                  <c:v>113.5917866261851</c:v>
                </c:pt>
                <c:pt idx="46">
                  <c:v>116.17392873884502</c:v>
                </c:pt>
                <c:pt idx="47">
                  <c:v>118.7960564723937</c:v>
                </c:pt>
                <c:pt idx="48">
                  <c:v>121.45816982683115</c:v>
                </c:pt>
                <c:pt idx="49">
                  <c:v>124.16026880215736</c:v>
                </c:pt>
                <c:pt idx="50">
                  <c:v>126.90235339837236</c:v>
                </c:pt>
                <c:pt idx="51">
                  <c:v>129.68442361547608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D5E-4561-B792-401913D11507}"/>
            </c:ext>
          </c:extLst>
        </c:ser>
        <c:ser>
          <c:idx val="44"/>
          <c:order val="44"/>
          <c:spPr>
            <a:ln w="952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поверхность'!$B$48:$BA$48</c:f>
              <c:numCache>
                <c:formatCode>General</c:formatCode>
                <c:ptCount val="52"/>
                <c:pt idx="0">
                  <c:v>8.6000000000000014</c:v>
                </c:pt>
                <c:pt idx="1">
                  <c:v>41.181733034064834</c:v>
                </c:pt>
                <c:pt idx="2">
                  <c:v>42.022583118551424</c:v>
                </c:pt>
                <c:pt idx="3">
                  <c:v>42.903418823926778</c:v>
                </c:pt>
                <c:pt idx="4">
                  <c:v>43.824240150190903</c:v>
                </c:pt>
                <c:pt idx="5">
                  <c:v>44.785047097343785</c:v>
                </c:pt>
                <c:pt idx="6">
                  <c:v>45.785839665385438</c:v>
                </c:pt>
                <c:pt idx="7">
                  <c:v>46.826617854315856</c:v>
                </c:pt>
                <c:pt idx="8">
                  <c:v>47.907381664135045</c:v>
                </c:pt>
                <c:pt idx="9">
                  <c:v>49.02813109484299</c:v>
                </c:pt>
                <c:pt idx="10">
                  <c:v>50.1888661464397</c:v>
                </c:pt>
                <c:pt idx="11">
                  <c:v>51.389586818925174</c:v>
                </c:pt>
                <c:pt idx="12">
                  <c:v>52.63029311229942</c:v>
                </c:pt>
                <c:pt idx="13">
                  <c:v>53.910985026562422</c:v>
                </c:pt>
                <c:pt idx="14">
                  <c:v>55.231662561714195</c:v>
                </c:pt>
                <c:pt idx="15">
                  <c:v>56.592325717754733</c:v>
                </c:pt>
                <c:pt idx="16">
                  <c:v>57.992974494684042</c:v>
                </c:pt>
                <c:pt idx="17">
                  <c:v>59.433608892502107</c:v>
                </c:pt>
                <c:pt idx="18">
                  <c:v>60.914228911208937</c:v>
                </c:pt>
                <c:pt idx="19">
                  <c:v>62.434834550804538</c:v>
                </c:pt>
                <c:pt idx="20">
                  <c:v>63.995425811288897</c:v>
                </c:pt>
                <c:pt idx="21">
                  <c:v>65.596002692662026</c:v>
                </c:pt>
                <c:pt idx="22">
                  <c:v>67.236565194923912</c:v>
                </c:pt>
                <c:pt idx="23">
                  <c:v>68.91711331807457</c:v>
                </c:pt>
                <c:pt idx="24">
                  <c:v>70.637647062114013</c:v>
                </c:pt>
                <c:pt idx="25">
                  <c:v>72.398166427042199</c:v>
                </c:pt>
                <c:pt idx="26">
                  <c:v>74.198671412859142</c:v>
                </c:pt>
                <c:pt idx="27">
                  <c:v>76.039162019564856</c:v>
                </c:pt>
                <c:pt idx="28">
                  <c:v>77.919638247159355</c:v>
                </c:pt>
                <c:pt idx="29">
                  <c:v>79.840100095642583</c:v>
                </c:pt>
                <c:pt idx="30">
                  <c:v>81.800547565014611</c:v>
                </c:pt>
                <c:pt idx="31">
                  <c:v>83.800980655275382</c:v>
                </c:pt>
                <c:pt idx="32">
                  <c:v>85.841399366424923</c:v>
                </c:pt>
                <c:pt idx="33">
                  <c:v>87.921803698463236</c:v>
                </c:pt>
                <c:pt idx="34">
                  <c:v>90.042193651390306</c:v>
                </c:pt>
                <c:pt idx="35">
                  <c:v>92.202569225206148</c:v>
                </c:pt>
                <c:pt idx="36">
                  <c:v>94.40293041991076</c:v>
                </c:pt>
                <c:pt idx="37">
                  <c:v>96.643277235504129</c:v>
                </c:pt>
                <c:pt idx="38">
                  <c:v>98.923609671986256</c:v>
                </c:pt>
                <c:pt idx="39">
                  <c:v>101.24392772935717</c:v>
                </c:pt>
                <c:pt idx="40">
                  <c:v>103.60423140761682</c:v>
                </c:pt>
                <c:pt idx="41">
                  <c:v>106.00452070676523</c:v>
                </c:pt>
                <c:pt idx="42">
                  <c:v>108.44479562680243</c:v>
                </c:pt>
                <c:pt idx="43">
                  <c:v>110.92505616772837</c:v>
                </c:pt>
                <c:pt idx="44">
                  <c:v>113.4453023295431</c:v>
                </c:pt>
                <c:pt idx="45">
                  <c:v>116.00553411224655</c:v>
                </c:pt>
                <c:pt idx="46">
                  <c:v>118.6057515158388</c:v>
                </c:pt>
                <c:pt idx="47">
                  <c:v>121.24595454031981</c:v>
                </c:pt>
                <c:pt idx="48">
                  <c:v>123.92614318568958</c:v>
                </c:pt>
                <c:pt idx="49">
                  <c:v>126.64631745194811</c:v>
                </c:pt>
                <c:pt idx="50">
                  <c:v>129.4064773390954</c:v>
                </c:pt>
                <c:pt idx="51">
                  <c:v>132.20662284713148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D5E-4561-B792-401913D11507}"/>
            </c:ext>
          </c:extLst>
        </c:ser>
        <c:ser>
          <c:idx val="45"/>
          <c:order val="45"/>
          <c:spPr>
            <a:ln w="952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поверхность'!$B$49:$BA$49</c:f>
              <c:numCache>
                <c:formatCode>General</c:formatCode>
                <c:ptCount val="52"/>
                <c:pt idx="0">
                  <c:v>8.8000000000000007</c:v>
                </c:pt>
                <c:pt idx="1">
                  <c:v>42.835629349637315</c:v>
                </c:pt>
                <c:pt idx="2">
                  <c:v>43.694554725056229</c:v>
                </c:pt>
                <c:pt idx="3">
                  <c:v>44.593465721363906</c:v>
                </c:pt>
                <c:pt idx="4">
                  <c:v>45.532362338560347</c:v>
                </c:pt>
                <c:pt idx="5">
                  <c:v>46.511244576645559</c:v>
                </c:pt>
                <c:pt idx="6">
                  <c:v>47.530112435619522</c:v>
                </c:pt>
                <c:pt idx="7">
                  <c:v>48.588965915482262</c:v>
                </c:pt>
                <c:pt idx="8">
                  <c:v>49.687805016233767</c:v>
                </c:pt>
                <c:pt idx="9">
                  <c:v>50.826629737874036</c:v>
                </c:pt>
                <c:pt idx="10">
                  <c:v>52.005440080403069</c:v>
                </c:pt>
                <c:pt idx="11">
                  <c:v>53.224236043820859</c:v>
                </c:pt>
                <c:pt idx="12">
                  <c:v>54.483017628127421</c:v>
                </c:pt>
                <c:pt idx="13">
                  <c:v>55.781784833322753</c:v>
                </c:pt>
                <c:pt idx="14">
                  <c:v>57.12053765940685</c:v>
                </c:pt>
                <c:pt idx="15">
                  <c:v>58.499276106379703</c:v>
                </c:pt>
                <c:pt idx="16">
                  <c:v>59.918000174241328</c:v>
                </c:pt>
                <c:pt idx="17">
                  <c:v>61.37670986299171</c:v>
                </c:pt>
                <c:pt idx="18">
                  <c:v>62.875405172630863</c:v>
                </c:pt>
                <c:pt idx="19">
                  <c:v>64.41408610315878</c:v>
                </c:pt>
                <c:pt idx="20">
                  <c:v>65.992752654575469</c:v>
                </c:pt>
                <c:pt idx="21">
                  <c:v>67.611404826880914</c:v>
                </c:pt>
                <c:pt idx="22">
                  <c:v>69.270042620075131</c:v>
                </c:pt>
                <c:pt idx="23">
                  <c:v>70.968666034158105</c:v>
                </c:pt>
                <c:pt idx="24">
                  <c:v>72.707275069129849</c:v>
                </c:pt>
                <c:pt idx="25">
                  <c:v>74.485869724990351</c:v>
                </c:pt>
                <c:pt idx="26">
                  <c:v>76.304450001739639</c:v>
                </c:pt>
                <c:pt idx="27">
                  <c:v>78.163015899377669</c:v>
                </c:pt>
                <c:pt idx="28">
                  <c:v>80.06156741790447</c:v>
                </c:pt>
                <c:pt idx="29">
                  <c:v>82.000104557320043</c:v>
                </c:pt>
                <c:pt idx="30">
                  <c:v>83.978627317624372</c:v>
                </c:pt>
                <c:pt idx="31">
                  <c:v>85.997135698817473</c:v>
                </c:pt>
                <c:pt idx="32">
                  <c:v>88.055629700899345</c:v>
                </c:pt>
                <c:pt idx="33">
                  <c:v>90.15410932386996</c:v>
                </c:pt>
                <c:pt idx="34">
                  <c:v>92.292574567729361</c:v>
                </c:pt>
                <c:pt idx="35">
                  <c:v>94.471025432477518</c:v>
                </c:pt>
                <c:pt idx="36">
                  <c:v>96.689461918114432</c:v>
                </c:pt>
                <c:pt idx="37">
                  <c:v>98.947884024640146</c:v>
                </c:pt>
                <c:pt idx="38">
                  <c:v>101.24629175205457</c:v>
                </c:pt>
                <c:pt idx="39">
                  <c:v>103.5846851003578</c:v>
                </c:pt>
                <c:pt idx="40">
                  <c:v>105.9630640695498</c:v>
                </c:pt>
                <c:pt idx="41">
                  <c:v>108.38142865963053</c:v>
                </c:pt>
                <c:pt idx="42">
                  <c:v>110.83977887060003</c:v>
                </c:pt>
                <c:pt idx="43">
                  <c:v>113.33811470245828</c:v>
                </c:pt>
                <c:pt idx="44">
                  <c:v>115.87643615520531</c:v>
                </c:pt>
                <c:pt idx="45">
                  <c:v>118.45474322884112</c:v>
                </c:pt>
                <c:pt idx="46">
                  <c:v>121.07303592336569</c:v>
                </c:pt>
                <c:pt idx="47">
                  <c:v>123.73131423877899</c:v>
                </c:pt>
                <c:pt idx="48">
                  <c:v>126.4295781750811</c:v>
                </c:pt>
                <c:pt idx="49">
                  <c:v>129.16782773227197</c:v>
                </c:pt>
                <c:pt idx="50">
                  <c:v>131.9460629103516</c:v>
                </c:pt>
                <c:pt idx="51">
                  <c:v>134.76428370931995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D5E-4561-B792-401913D11507}"/>
            </c:ext>
          </c:extLst>
        </c:ser>
        <c:ser>
          <c:idx val="46"/>
          <c:order val="46"/>
          <c:spPr>
            <a:ln w="952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поверхность'!$B$50:$BA$50</c:f>
              <c:numCache>
                <c:formatCode>General</c:formatCode>
                <c:ptCount val="52"/>
                <c:pt idx="0">
                  <c:v>9</c:v>
                </c:pt>
                <c:pt idx="1">
                  <c:v>44.524987295742903</c:v>
                </c:pt>
                <c:pt idx="2">
                  <c:v>45.401987962094132</c:v>
                </c:pt>
                <c:pt idx="3">
                  <c:v>46.318974249334133</c:v>
                </c:pt>
                <c:pt idx="4">
                  <c:v>47.275946157462897</c:v>
                </c:pt>
                <c:pt idx="5">
                  <c:v>48.272903686480426</c:v>
                </c:pt>
                <c:pt idx="6">
                  <c:v>49.309846836386711</c:v>
                </c:pt>
                <c:pt idx="7">
                  <c:v>50.386775607181768</c:v>
                </c:pt>
                <c:pt idx="8">
                  <c:v>51.503689998865589</c:v>
                </c:pt>
                <c:pt idx="9">
                  <c:v>52.660590011438174</c:v>
                </c:pt>
                <c:pt idx="10">
                  <c:v>53.85747564489953</c:v>
                </c:pt>
                <c:pt idx="11">
                  <c:v>55.094346899249651</c:v>
                </c:pt>
                <c:pt idx="12">
                  <c:v>56.371203774488528</c:v>
                </c:pt>
                <c:pt idx="13">
                  <c:v>57.688046270616169</c:v>
                </c:pt>
                <c:pt idx="14">
                  <c:v>59.044874387632596</c:v>
                </c:pt>
                <c:pt idx="15">
                  <c:v>60.441688125537773</c:v>
                </c:pt>
                <c:pt idx="16">
                  <c:v>61.878487484331714</c:v>
                </c:pt>
                <c:pt idx="17">
                  <c:v>63.355272464014419</c:v>
                </c:pt>
                <c:pt idx="18">
                  <c:v>64.872043064585895</c:v>
                </c:pt>
                <c:pt idx="19">
                  <c:v>66.428799286046129</c:v>
                </c:pt>
                <c:pt idx="20">
                  <c:v>68.025541128395133</c:v>
                </c:pt>
                <c:pt idx="21">
                  <c:v>69.662268591632895</c:v>
                </c:pt>
                <c:pt idx="22">
                  <c:v>71.338981675759442</c:v>
                </c:pt>
                <c:pt idx="23">
                  <c:v>73.055680380774731</c:v>
                </c:pt>
                <c:pt idx="24">
                  <c:v>74.812364706678792</c:v>
                </c:pt>
                <c:pt idx="25">
                  <c:v>76.609034653471625</c:v>
                </c:pt>
                <c:pt idx="26">
                  <c:v>78.445690221153214</c:v>
                </c:pt>
                <c:pt idx="27">
                  <c:v>80.322331409723574</c:v>
                </c:pt>
                <c:pt idx="28">
                  <c:v>82.238958219182706</c:v>
                </c:pt>
                <c:pt idx="29">
                  <c:v>84.195570649530595</c:v>
                </c:pt>
                <c:pt idx="30">
                  <c:v>86.19216870076724</c:v>
                </c:pt>
                <c:pt idx="31">
                  <c:v>88.228752372892657</c:v>
                </c:pt>
                <c:pt idx="32">
                  <c:v>90.305321665906831</c:v>
                </c:pt>
                <c:pt idx="33">
                  <c:v>92.421876579809791</c:v>
                </c:pt>
                <c:pt idx="34">
                  <c:v>94.578417114601507</c:v>
                </c:pt>
                <c:pt idx="35">
                  <c:v>96.774943270281995</c:v>
                </c:pt>
                <c:pt idx="36">
                  <c:v>99.011455046851225</c:v>
                </c:pt>
                <c:pt idx="37">
                  <c:v>101.28795244430924</c:v>
                </c:pt>
                <c:pt idx="38">
                  <c:v>103.604435462656</c:v>
                </c:pt>
                <c:pt idx="39">
                  <c:v>105.96090410189154</c:v>
                </c:pt>
                <c:pt idx="40">
                  <c:v>108.35735836201586</c:v>
                </c:pt>
                <c:pt idx="41">
                  <c:v>110.79379824302892</c:v>
                </c:pt>
                <c:pt idx="42">
                  <c:v>113.27022374493075</c:v>
                </c:pt>
                <c:pt idx="43">
                  <c:v>115.78663486772132</c:v>
                </c:pt>
                <c:pt idx="44">
                  <c:v>118.34303161140066</c:v>
                </c:pt>
                <c:pt idx="45">
                  <c:v>120.93941397596879</c:v>
                </c:pt>
                <c:pt idx="46">
                  <c:v>123.57578196142568</c:v>
                </c:pt>
                <c:pt idx="47">
                  <c:v>126.25213556777132</c:v>
                </c:pt>
                <c:pt idx="48">
                  <c:v>128.96847479500573</c:v>
                </c:pt>
                <c:pt idx="49">
                  <c:v>131.7247996431289</c:v>
                </c:pt>
                <c:pt idx="50">
                  <c:v>134.52111011214086</c:v>
                </c:pt>
                <c:pt idx="51">
                  <c:v>137.35740620204155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9D5E-4561-B792-401913D11507}"/>
            </c:ext>
          </c:extLst>
        </c:ser>
        <c:ser>
          <c:idx val="47"/>
          <c:order val="47"/>
          <c:spPr>
            <a:ln w="952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val>
            <c:numRef>
              <c:f>'Нелинейная поверхность'!$B$51:$BA$51</c:f>
              <c:numCache>
                <c:formatCode>General</c:formatCode>
                <c:ptCount val="52"/>
                <c:pt idx="0">
                  <c:v>9.1999999999999993</c:v>
                </c:pt>
                <c:pt idx="1">
                  <c:v>46.24980687238159</c:v>
                </c:pt>
                <c:pt idx="2">
                  <c:v>47.144882829665143</c:v>
                </c:pt>
                <c:pt idx="3">
                  <c:v>48.079944407837459</c:v>
                </c:pt>
                <c:pt idx="4">
                  <c:v>49.05499160689854</c:v>
                </c:pt>
                <c:pt idx="5">
                  <c:v>50.070024426848384</c:v>
                </c:pt>
                <c:pt idx="6">
                  <c:v>51.125042867687</c:v>
                </c:pt>
                <c:pt idx="7">
                  <c:v>52.22004692941438</c:v>
                </c:pt>
                <c:pt idx="8">
                  <c:v>53.355036612030517</c:v>
                </c:pt>
                <c:pt idx="9">
                  <c:v>54.530011915535425</c:v>
                </c:pt>
                <c:pt idx="10">
                  <c:v>55.744972839929098</c:v>
                </c:pt>
                <c:pt idx="11">
                  <c:v>56.999919385211534</c:v>
                </c:pt>
                <c:pt idx="12">
                  <c:v>58.294851551382735</c:v>
                </c:pt>
                <c:pt idx="13">
                  <c:v>59.629769338442706</c:v>
                </c:pt>
                <c:pt idx="14">
                  <c:v>61.004672746391435</c:v>
                </c:pt>
                <c:pt idx="15">
                  <c:v>62.419561775228935</c:v>
                </c:pt>
                <c:pt idx="16">
                  <c:v>63.874436424955192</c:v>
                </c:pt>
                <c:pt idx="17">
                  <c:v>65.369296695570227</c:v>
                </c:pt>
                <c:pt idx="18">
                  <c:v>66.90414258707402</c:v>
                </c:pt>
                <c:pt idx="19">
                  <c:v>68.478974099466583</c:v>
                </c:pt>
                <c:pt idx="20">
                  <c:v>70.093791232747904</c:v>
                </c:pt>
                <c:pt idx="21">
                  <c:v>71.748593986917982</c:v>
                </c:pt>
                <c:pt idx="22">
                  <c:v>73.443382361976845</c:v>
                </c:pt>
                <c:pt idx="23">
                  <c:v>75.178156357924465</c:v>
                </c:pt>
                <c:pt idx="24">
                  <c:v>76.952915974760842</c:v>
                </c:pt>
                <c:pt idx="25">
                  <c:v>78.76766121248599</c:v>
                </c:pt>
                <c:pt idx="26">
                  <c:v>80.62239207109991</c:v>
                </c:pt>
                <c:pt idx="27">
                  <c:v>82.517108550602586</c:v>
                </c:pt>
                <c:pt idx="28">
                  <c:v>84.45181065099402</c:v>
                </c:pt>
                <c:pt idx="29">
                  <c:v>86.426498372274239</c:v>
                </c:pt>
                <c:pt idx="30">
                  <c:v>88.4411717144432</c:v>
                </c:pt>
                <c:pt idx="31">
                  <c:v>90.495830677500933</c:v>
                </c:pt>
                <c:pt idx="32">
                  <c:v>92.590475261447452</c:v>
                </c:pt>
                <c:pt idx="33">
                  <c:v>94.725105466282713</c:v>
                </c:pt>
                <c:pt idx="34">
                  <c:v>96.899721292006745</c:v>
                </c:pt>
                <c:pt idx="35">
                  <c:v>99.114322738619549</c:v>
                </c:pt>
                <c:pt idx="36">
                  <c:v>101.36890980612111</c:v>
                </c:pt>
                <c:pt idx="37">
                  <c:v>103.66348249451146</c:v>
                </c:pt>
                <c:pt idx="38">
                  <c:v>105.99804080379054</c:v>
                </c:pt>
                <c:pt idx="39">
                  <c:v>108.3725847339584</c:v>
                </c:pt>
                <c:pt idx="40">
                  <c:v>110.78711428501504</c:v>
                </c:pt>
                <c:pt idx="41">
                  <c:v>113.2416294569604</c:v>
                </c:pt>
                <c:pt idx="42">
                  <c:v>115.73613024979456</c:v>
                </c:pt>
                <c:pt idx="43">
                  <c:v>118.27061666351744</c:v>
                </c:pt>
                <c:pt idx="44">
                  <c:v>120.84508869812912</c:v>
                </c:pt>
                <c:pt idx="45">
                  <c:v>123.45954635362956</c:v>
                </c:pt>
                <c:pt idx="46">
                  <c:v>126.11398963001875</c:v>
                </c:pt>
                <c:pt idx="47">
                  <c:v>128.80841852729674</c:v>
                </c:pt>
                <c:pt idx="48">
                  <c:v>131.54283304546345</c:v>
                </c:pt>
                <c:pt idx="49">
                  <c:v>134.31723318451895</c:v>
                </c:pt>
                <c:pt idx="50">
                  <c:v>137.13161894446321</c:v>
                </c:pt>
                <c:pt idx="51">
                  <c:v>139.98599032529623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9D5E-4561-B792-401913D11507}"/>
            </c:ext>
          </c:extLst>
        </c:ser>
        <c:ser>
          <c:idx val="48"/>
          <c:order val="48"/>
          <c:spPr>
            <a:ln w="952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поверхность'!$B$52:$BA$52</c:f>
              <c:numCache>
                <c:formatCode>General</c:formatCode>
                <c:ptCount val="52"/>
                <c:pt idx="0">
                  <c:v>9.3999999999999986</c:v>
                </c:pt>
                <c:pt idx="1">
                  <c:v>48.01008807955337</c:v>
                </c:pt>
                <c:pt idx="2">
                  <c:v>48.923239327769245</c:v>
                </c:pt>
                <c:pt idx="3">
                  <c:v>49.876376196873885</c:v>
                </c:pt>
                <c:pt idx="4">
                  <c:v>50.869498686867281</c:v>
                </c:pt>
                <c:pt idx="5">
                  <c:v>51.902606797749449</c:v>
                </c:pt>
                <c:pt idx="6">
                  <c:v>52.975700529520381</c:v>
                </c:pt>
                <c:pt idx="7">
                  <c:v>54.088779882180084</c:v>
                </c:pt>
                <c:pt idx="8">
                  <c:v>55.241844855728544</c:v>
                </c:pt>
                <c:pt idx="9">
                  <c:v>56.434895450165769</c:v>
                </c:pt>
                <c:pt idx="10">
                  <c:v>57.667931665491764</c:v>
                </c:pt>
                <c:pt idx="11">
                  <c:v>58.940953501706517</c:v>
                </c:pt>
                <c:pt idx="12">
                  <c:v>60.25396095881004</c:v>
                </c:pt>
                <c:pt idx="13">
                  <c:v>61.606954036802321</c:v>
                </c:pt>
                <c:pt idx="14">
                  <c:v>62.99993273568338</c:v>
                </c:pt>
                <c:pt idx="15">
                  <c:v>64.432897055453196</c:v>
                </c:pt>
                <c:pt idx="16">
                  <c:v>65.905846996111777</c:v>
                </c:pt>
                <c:pt idx="17">
                  <c:v>67.418782557659128</c:v>
                </c:pt>
                <c:pt idx="18">
                  <c:v>68.971703740095236</c:v>
                </c:pt>
                <c:pt idx="19">
                  <c:v>70.564610543420116</c:v>
                </c:pt>
                <c:pt idx="20">
                  <c:v>72.197502967633767</c:v>
                </c:pt>
                <c:pt idx="21">
                  <c:v>73.870381012736161</c:v>
                </c:pt>
                <c:pt idx="22">
                  <c:v>75.58324467872734</c:v>
                </c:pt>
                <c:pt idx="23">
                  <c:v>77.336093965607276</c:v>
                </c:pt>
                <c:pt idx="24">
                  <c:v>79.128928873375983</c:v>
                </c:pt>
                <c:pt idx="25">
                  <c:v>80.961749402033462</c:v>
                </c:pt>
                <c:pt idx="26">
                  <c:v>82.834555551579683</c:v>
                </c:pt>
                <c:pt idx="27">
                  <c:v>84.74734732201469</c:v>
                </c:pt>
                <c:pt idx="28">
                  <c:v>86.700124713338454</c:v>
                </c:pt>
                <c:pt idx="29">
                  <c:v>88.692887725550975</c:v>
                </c:pt>
                <c:pt idx="30">
                  <c:v>90.725636358652267</c:v>
                </c:pt>
                <c:pt idx="31">
                  <c:v>92.798370612642344</c:v>
                </c:pt>
                <c:pt idx="32">
                  <c:v>94.911090487521165</c:v>
                </c:pt>
                <c:pt idx="33">
                  <c:v>97.063795983288742</c:v>
                </c:pt>
                <c:pt idx="34">
                  <c:v>99.256487099945105</c:v>
                </c:pt>
                <c:pt idx="35">
                  <c:v>101.48916383749021</c:v>
                </c:pt>
                <c:pt idx="36">
                  <c:v>103.7618261959241</c:v>
                </c:pt>
                <c:pt idx="37">
                  <c:v>106.07447417524675</c:v>
                </c:pt>
                <c:pt idx="38">
                  <c:v>108.42710777545817</c:v>
                </c:pt>
                <c:pt idx="39">
                  <c:v>110.81972699655834</c:v>
                </c:pt>
                <c:pt idx="40">
                  <c:v>113.25233183854729</c:v>
                </c:pt>
                <c:pt idx="41">
                  <c:v>115.72492230142498</c:v>
                </c:pt>
                <c:pt idx="42">
                  <c:v>118.23749838519144</c:v>
                </c:pt>
                <c:pt idx="43">
                  <c:v>120.79006008984668</c:v>
                </c:pt>
                <c:pt idx="44">
                  <c:v>123.38260741539067</c:v>
                </c:pt>
                <c:pt idx="45">
                  <c:v>126.01514036182341</c:v>
                </c:pt>
                <c:pt idx="46">
                  <c:v>128.68765892914496</c:v>
                </c:pt>
                <c:pt idx="47">
                  <c:v>131.40016311735522</c:v>
                </c:pt>
                <c:pt idx="48">
                  <c:v>134.15265292645427</c:v>
                </c:pt>
                <c:pt idx="49">
                  <c:v>136.9451283564421</c:v>
                </c:pt>
                <c:pt idx="50">
                  <c:v>139.77758940731869</c:v>
                </c:pt>
                <c:pt idx="51">
                  <c:v>142.650036079084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D5E-4561-B792-401913D11507}"/>
            </c:ext>
          </c:extLst>
        </c:ser>
        <c:ser>
          <c:idx val="49"/>
          <c:order val="49"/>
          <c:spPr>
            <a:ln w="952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поверхность'!$B$53:$BA$53</c:f>
              <c:numCache>
                <c:formatCode>General</c:formatCode>
                <c:ptCount val="52"/>
                <c:pt idx="0">
                  <c:v>9.5999999999999979</c:v>
                </c:pt>
                <c:pt idx="1">
                  <c:v>49.805830917258255</c:v>
                </c:pt>
                <c:pt idx="2">
                  <c:v>50.737057456406454</c:v>
                </c:pt>
                <c:pt idx="3">
                  <c:v>51.70826961644341</c:v>
                </c:pt>
                <c:pt idx="4">
                  <c:v>52.719467397369129</c:v>
                </c:pt>
                <c:pt idx="5">
                  <c:v>53.770650799183613</c:v>
                </c:pt>
                <c:pt idx="6">
                  <c:v>54.861819821886868</c:v>
                </c:pt>
                <c:pt idx="7">
                  <c:v>55.992974465478888</c:v>
                </c:pt>
                <c:pt idx="8">
                  <c:v>57.164114729959664</c:v>
                </c:pt>
                <c:pt idx="9">
                  <c:v>58.375240615329211</c:v>
                </c:pt>
                <c:pt idx="10">
                  <c:v>59.62635212158753</c:v>
                </c:pt>
                <c:pt idx="11">
                  <c:v>60.917449248734599</c:v>
                </c:pt>
                <c:pt idx="12">
                  <c:v>62.248531996770446</c:v>
                </c:pt>
                <c:pt idx="13">
                  <c:v>63.61960036569505</c:v>
                </c:pt>
                <c:pt idx="14">
                  <c:v>65.030654355508432</c:v>
                </c:pt>
                <c:pt idx="15">
                  <c:v>66.481693966210557</c:v>
                </c:pt>
                <c:pt idx="16">
                  <c:v>67.972719197801467</c:v>
                </c:pt>
                <c:pt idx="17">
                  <c:v>69.503730050281135</c:v>
                </c:pt>
                <c:pt idx="18">
                  <c:v>71.074726523649559</c:v>
                </c:pt>
                <c:pt idx="19">
                  <c:v>72.685708617906769</c:v>
                </c:pt>
                <c:pt idx="20">
                  <c:v>74.336676333052736</c:v>
                </c:pt>
                <c:pt idx="21">
                  <c:v>76.02762966908746</c:v>
                </c:pt>
                <c:pt idx="22">
                  <c:v>77.758568626010941</c:v>
                </c:pt>
                <c:pt idx="23">
                  <c:v>79.529493203823208</c:v>
                </c:pt>
                <c:pt idx="24">
                  <c:v>81.340403402524231</c:v>
                </c:pt>
                <c:pt idx="25">
                  <c:v>83.191299222114012</c:v>
                </c:pt>
                <c:pt idx="26">
                  <c:v>85.082180662592563</c:v>
                </c:pt>
                <c:pt idx="27">
                  <c:v>87.013047723959886</c:v>
                </c:pt>
                <c:pt idx="28">
                  <c:v>88.983900406215966</c:v>
                </c:pt>
                <c:pt idx="29">
                  <c:v>90.994738709360817</c:v>
                </c:pt>
                <c:pt idx="30">
                  <c:v>93.045562633394439</c:v>
                </c:pt>
                <c:pt idx="31">
                  <c:v>95.136372178316819</c:v>
                </c:pt>
                <c:pt idx="32">
                  <c:v>97.267167344127955</c:v>
                </c:pt>
                <c:pt idx="33">
                  <c:v>99.437948130827877</c:v>
                </c:pt>
                <c:pt idx="34">
                  <c:v>101.64871453841654</c:v>
                </c:pt>
                <c:pt idx="35">
                  <c:v>103.89946656689398</c:v>
                </c:pt>
                <c:pt idx="36">
                  <c:v>106.19020421626017</c:v>
                </c:pt>
                <c:pt idx="37">
                  <c:v>108.52092748651515</c:v>
                </c:pt>
                <c:pt idx="38">
                  <c:v>110.89163637765888</c:v>
                </c:pt>
                <c:pt idx="39">
                  <c:v>113.30233088969138</c:v>
                </c:pt>
                <c:pt idx="40">
                  <c:v>115.75301102261265</c:v>
                </c:pt>
                <c:pt idx="41">
                  <c:v>118.24367677642266</c:v>
                </c:pt>
                <c:pt idx="42">
                  <c:v>120.77432815112147</c:v>
                </c:pt>
                <c:pt idx="43">
                  <c:v>123.344965146709</c:v>
                </c:pt>
                <c:pt idx="44">
                  <c:v>125.95558776318532</c:v>
                </c:pt>
                <c:pt idx="45">
                  <c:v>128.60619600055037</c:v>
                </c:pt>
                <c:pt idx="46">
                  <c:v>131.29678985880423</c:v>
                </c:pt>
                <c:pt idx="47">
                  <c:v>134.02736933794685</c:v>
                </c:pt>
                <c:pt idx="48">
                  <c:v>136.7979344379782</c:v>
                </c:pt>
                <c:pt idx="49">
                  <c:v>139.60848515889833</c:v>
                </c:pt>
                <c:pt idx="50">
                  <c:v>142.45902150070725</c:v>
                </c:pt>
                <c:pt idx="51">
                  <c:v>145.3495434634049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9D5E-4561-B792-401913D11507}"/>
            </c:ext>
          </c:extLst>
        </c:ser>
        <c:ser>
          <c:idx val="50"/>
          <c:order val="50"/>
          <c:spPr>
            <a:ln w="952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поверхность'!$B$54:$BA$54</c:f>
              <c:numCache>
                <c:formatCode>General</c:formatCode>
                <c:ptCount val="52"/>
                <c:pt idx="0">
                  <c:v>9.7999999999999972</c:v>
                </c:pt>
                <c:pt idx="1">
                  <c:v>51.637035385496247</c:v>
                </c:pt>
                <c:pt idx="2">
                  <c:v>52.586337215576755</c:v>
                </c:pt>
                <c:pt idx="3">
                  <c:v>53.575624666546041</c:v>
                </c:pt>
                <c:pt idx="4">
                  <c:v>54.604897738404077</c:v>
                </c:pt>
                <c:pt idx="5">
                  <c:v>55.674156431150891</c:v>
                </c:pt>
                <c:pt idx="6">
                  <c:v>56.783400744786455</c:v>
                </c:pt>
                <c:pt idx="7">
                  <c:v>57.93263067931079</c:v>
                </c:pt>
                <c:pt idx="8">
                  <c:v>59.121846234723897</c:v>
                </c:pt>
                <c:pt idx="9">
                  <c:v>60.35104741102576</c:v>
                </c:pt>
                <c:pt idx="10">
                  <c:v>61.620234208216388</c:v>
                </c:pt>
                <c:pt idx="11">
                  <c:v>62.929406626295794</c:v>
                </c:pt>
                <c:pt idx="12">
                  <c:v>64.278564665263957</c:v>
                </c:pt>
                <c:pt idx="13">
                  <c:v>65.66770832512087</c:v>
                </c:pt>
                <c:pt idx="14">
                  <c:v>67.096837605866583</c:v>
                </c:pt>
                <c:pt idx="15">
                  <c:v>68.565952507501038</c:v>
                </c:pt>
                <c:pt idx="16">
                  <c:v>70.075053030024264</c:v>
                </c:pt>
                <c:pt idx="17">
                  <c:v>71.624139173436248</c:v>
                </c:pt>
                <c:pt idx="18">
                  <c:v>73.213210937737003</c:v>
                </c:pt>
                <c:pt idx="19">
                  <c:v>74.842268322926515</c:v>
                </c:pt>
                <c:pt idx="20">
                  <c:v>76.511311329004798</c:v>
                </c:pt>
                <c:pt idx="21">
                  <c:v>78.220339955971838</c:v>
                </c:pt>
                <c:pt idx="22">
                  <c:v>79.969354203827663</c:v>
                </c:pt>
                <c:pt idx="23">
                  <c:v>81.758354072572232</c:v>
                </c:pt>
                <c:pt idx="24">
                  <c:v>83.587339562205585</c:v>
                </c:pt>
                <c:pt idx="25">
                  <c:v>85.456310672727682</c:v>
                </c:pt>
                <c:pt idx="26">
                  <c:v>87.365267404138564</c:v>
                </c:pt>
                <c:pt idx="27">
                  <c:v>89.314209756438203</c:v>
                </c:pt>
                <c:pt idx="28">
                  <c:v>91.303137729626599</c:v>
                </c:pt>
                <c:pt idx="29">
                  <c:v>93.33205132370378</c:v>
                </c:pt>
                <c:pt idx="30">
                  <c:v>95.400950538669704</c:v>
                </c:pt>
                <c:pt idx="31">
                  <c:v>97.5098353745244</c:v>
                </c:pt>
                <c:pt idx="32">
                  <c:v>99.658705831267866</c:v>
                </c:pt>
                <c:pt idx="33">
                  <c:v>101.8475619089001</c:v>
                </c:pt>
                <c:pt idx="34">
                  <c:v>104.0764036074211</c:v>
                </c:pt>
                <c:pt idx="35">
                  <c:v>106.34523092683085</c:v>
                </c:pt>
                <c:pt idx="36">
                  <c:v>108.65404386712939</c:v>
                </c:pt>
                <c:pt idx="37">
                  <c:v>111.00284242831665</c:v>
                </c:pt>
                <c:pt idx="38">
                  <c:v>113.39162661039273</c:v>
                </c:pt>
                <c:pt idx="39">
                  <c:v>115.82039641335754</c:v>
                </c:pt>
                <c:pt idx="40">
                  <c:v>118.28915183721112</c:v>
                </c:pt>
                <c:pt idx="41">
                  <c:v>120.79789288195346</c:v>
                </c:pt>
                <c:pt idx="42">
                  <c:v>123.34661954758457</c:v>
                </c:pt>
                <c:pt idx="43">
                  <c:v>125.93533183410443</c:v>
                </c:pt>
                <c:pt idx="44">
                  <c:v>128.56402974151305</c:v>
                </c:pt>
                <c:pt idx="45">
                  <c:v>131.23271326981046</c:v>
                </c:pt>
                <c:pt idx="46">
                  <c:v>133.94138241899662</c:v>
                </c:pt>
                <c:pt idx="47">
                  <c:v>136.69003718907155</c:v>
                </c:pt>
                <c:pt idx="48">
                  <c:v>139.47867758003522</c:v>
                </c:pt>
                <c:pt idx="49">
                  <c:v>142.30730359188766</c:v>
                </c:pt>
                <c:pt idx="50">
                  <c:v>145.17591522462891</c:v>
                </c:pt>
                <c:pt idx="51">
                  <c:v>148.08451247825889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9D5E-4561-B792-401913D11507}"/>
            </c:ext>
          </c:extLst>
        </c:ser>
        <c:ser>
          <c:idx val="51"/>
          <c:order val="51"/>
          <c:spPr>
            <a:ln w="952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val>
            <c:numRef>
              <c:f>'Нелинейная поверхность'!$B$55:$BA$55</c:f>
              <c:numCache>
                <c:formatCode>General</c:formatCode>
                <c:ptCount val="52"/>
                <c:pt idx="0">
                  <c:v>9.9999999999999964</c:v>
                </c:pt>
                <c:pt idx="1">
                  <c:v>53.503701484267339</c:v>
                </c:pt>
                <c:pt idx="2">
                  <c:v>54.471078605280169</c:v>
                </c:pt>
                <c:pt idx="3">
                  <c:v>55.478441347181764</c:v>
                </c:pt>
                <c:pt idx="4">
                  <c:v>56.52578970997213</c:v>
                </c:pt>
                <c:pt idx="5">
                  <c:v>57.613123693651261</c:v>
                </c:pt>
                <c:pt idx="6">
                  <c:v>58.740443298219148</c:v>
                </c:pt>
                <c:pt idx="7">
                  <c:v>59.907748523675806</c:v>
                </c:pt>
                <c:pt idx="8">
                  <c:v>61.115039370021229</c:v>
                </c:pt>
                <c:pt idx="9">
                  <c:v>62.362315837255409</c:v>
                </c:pt>
                <c:pt idx="10">
                  <c:v>63.649577925378367</c:v>
                </c:pt>
                <c:pt idx="11">
                  <c:v>64.976825634390082</c:v>
                </c:pt>
                <c:pt idx="12">
                  <c:v>66.344058964290568</c:v>
                </c:pt>
                <c:pt idx="13">
                  <c:v>67.751277915079811</c:v>
                </c:pt>
                <c:pt idx="14">
                  <c:v>69.198482486757825</c:v>
                </c:pt>
                <c:pt idx="15">
                  <c:v>70.685672679324597</c:v>
                </c:pt>
                <c:pt idx="16">
                  <c:v>72.21284849278014</c:v>
                </c:pt>
                <c:pt idx="17">
                  <c:v>73.780009927124453</c:v>
                </c:pt>
                <c:pt idx="18">
                  <c:v>75.387156982357524</c:v>
                </c:pt>
                <c:pt idx="19">
                  <c:v>77.034289658479366</c:v>
                </c:pt>
                <c:pt idx="20">
                  <c:v>78.721407955489966</c:v>
                </c:pt>
                <c:pt idx="21">
                  <c:v>80.448511873389336</c:v>
                </c:pt>
                <c:pt idx="22">
                  <c:v>82.215601412177463</c:v>
                </c:pt>
                <c:pt idx="23">
                  <c:v>84.022676571854362</c:v>
                </c:pt>
                <c:pt idx="24">
                  <c:v>85.869737352420032</c:v>
                </c:pt>
                <c:pt idx="25">
                  <c:v>87.756783753874458</c:v>
                </c:pt>
                <c:pt idx="26">
                  <c:v>89.683815776217642</c:v>
                </c:pt>
                <c:pt idx="27">
                  <c:v>91.650833419449611</c:v>
                </c:pt>
                <c:pt idx="28">
                  <c:v>93.657836683570338</c:v>
                </c:pt>
                <c:pt idx="29">
                  <c:v>95.704825568579821</c:v>
                </c:pt>
                <c:pt idx="30">
                  <c:v>97.791800074478076</c:v>
                </c:pt>
                <c:pt idx="31">
                  <c:v>99.918760201265087</c:v>
                </c:pt>
                <c:pt idx="32">
                  <c:v>102.08570594894087</c:v>
                </c:pt>
                <c:pt idx="33">
                  <c:v>104.29263731750542</c:v>
                </c:pt>
                <c:pt idx="34">
                  <c:v>106.53955430695873</c:v>
                </c:pt>
                <c:pt idx="35">
                  <c:v>108.82645691730082</c:v>
                </c:pt>
                <c:pt idx="36">
                  <c:v>111.15334514853166</c:v>
                </c:pt>
                <c:pt idx="37">
                  <c:v>113.52021900065128</c:v>
                </c:pt>
                <c:pt idx="38">
                  <c:v>115.92707847365963</c:v>
                </c:pt>
                <c:pt idx="39">
                  <c:v>118.37392356755677</c:v>
                </c:pt>
                <c:pt idx="40">
                  <c:v>120.8607542823427</c:v>
                </c:pt>
                <c:pt idx="41">
                  <c:v>123.38757061801735</c:v>
                </c:pt>
                <c:pt idx="42">
                  <c:v>125.95437257458077</c:v>
                </c:pt>
                <c:pt idx="43">
                  <c:v>128.56116015203295</c:v>
                </c:pt>
                <c:pt idx="44">
                  <c:v>131.20793335037391</c:v>
                </c:pt>
                <c:pt idx="45">
                  <c:v>133.89469216960364</c:v>
                </c:pt>
                <c:pt idx="46">
                  <c:v>136.62143660972211</c:v>
                </c:pt>
                <c:pt idx="47">
                  <c:v>139.38816667072933</c:v>
                </c:pt>
                <c:pt idx="48">
                  <c:v>142.19488235262537</c:v>
                </c:pt>
                <c:pt idx="49">
                  <c:v>145.04158365541014</c:v>
                </c:pt>
                <c:pt idx="50">
                  <c:v>147.92827057908369</c:v>
                </c:pt>
                <c:pt idx="51">
                  <c:v>150.85494312364597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9D5E-4561-B792-401913D11507}"/>
            </c:ext>
          </c:extLst>
        </c:ser>
        <c:bandFmts>
          <c:bandFmt>
            <c:idx val="0"/>
            <c:spPr>
              <a:ln w="9525" cap="rnd">
                <a:solidFill>
                  <a:schemeClr val="accent1"/>
                </a:solidFill>
                <a:round/>
              </a:ln>
              <a:effectLst/>
            </c:spPr>
          </c:bandFmt>
          <c:bandFmt>
            <c:idx val="1"/>
            <c:spPr>
              <a:ln w="9525" cap="rnd">
                <a:solidFill>
                  <a:schemeClr val="accent2"/>
                </a:solidFill>
                <a:round/>
              </a:ln>
              <a:effectLst/>
            </c:spPr>
          </c:bandFmt>
          <c:bandFmt>
            <c:idx val="2"/>
            <c:spPr>
              <a:ln w="9525" cap="rnd">
                <a:solidFill>
                  <a:schemeClr val="accent3"/>
                </a:solidFill>
                <a:round/>
              </a:ln>
              <a:effectLst/>
            </c:spPr>
          </c:bandFmt>
          <c:bandFmt>
            <c:idx val="3"/>
            <c:spPr>
              <a:ln w="9525" cap="rnd">
                <a:solidFill>
                  <a:schemeClr val="accent4"/>
                </a:solidFill>
                <a:round/>
              </a:ln>
              <a:effectLst/>
            </c:spPr>
          </c:bandFmt>
          <c:bandFmt>
            <c:idx val="4"/>
            <c:spPr>
              <a:ln w="9525" cap="rnd">
                <a:solidFill>
                  <a:schemeClr val="accent5"/>
                </a:solidFill>
                <a:round/>
              </a:ln>
              <a:effectLst/>
            </c:spPr>
          </c:bandFmt>
          <c:bandFmt>
            <c:idx val="5"/>
            <c:spPr>
              <a:ln w="9525" cap="rnd">
                <a:solidFill>
                  <a:schemeClr val="accent6"/>
                </a:solidFill>
                <a:round/>
              </a:ln>
              <a:effectLst/>
            </c:spPr>
          </c:bandFmt>
          <c:bandFmt>
            <c:idx val="6"/>
            <c:spPr>
              <a:ln w="9525" cap="rnd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7"/>
            <c:spPr>
              <a:ln w="9525" cap="rnd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8"/>
            <c:spPr>
              <a:ln w="9525" cap="rnd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9"/>
            <c:spPr>
              <a:ln w="9525" cap="rnd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0"/>
            <c:spPr>
              <a:ln w="9525" cap="rnd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1"/>
            <c:spPr>
              <a:ln w="9525" cap="rnd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bandFmt>
          <c:bandFmt>
            <c:idx val="12"/>
            <c:spPr>
              <a:ln w="9525" cap="rnd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3"/>
            <c:spPr>
              <a:ln w="9525" cap="rnd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  <c:bandFmt>
            <c:idx val="14"/>
            <c:spPr>
              <a:ln w="9525" cap="rnd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bandFmt>
        </c:bandFmts>
        <c:axId val="487660911"/>
        <c:axId val="876280719"/>
        <c:axId val="653810671"/>
      </c:surface3DChart>
      <c:catAx>
        <c:axId val="48766091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280719"/>
        <c:crosses val="autoZero"/>
        <c:auto val="1"/>
        <c:lblAlgn val="ctr"/>
        <c:lblOffset val="100"/>
        <c:noMultiLvlLbl val="0"/>
      </c:catAx>
      <c:valAx>
        <c:axId val="8762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7660911"/>
        <c:crosses val="autoZero"/>
        <c:crossBetween val="midCat"/>
      </c:valAx>
      <c:serAx>
        <c:axId val="65381067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6280719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64293</xdr:colOff>
      <xdr:row>15</xdr:row>
      <xdr:rowOff>30955</xdr:rowOff>
    </xdr:from>
    <xdr:to>
      <xdr:col>19</xdr:col>
      <xdr:colOff>102393</xdr:colOff>
      <xdr:row>33</xdr:row>
      <xdr:rowOff>52388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9A4BB2-BA5D-40ED-84CC-79ADA2E4A6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69055</xdr:colOff>
      <xdr:row>0</xdr:row>
      <xdr:rowOff>169069</xdr:rowOff>
    </xdr:from>
    <xdr:to>
      <xdr:col>21</xdr:col>
      <xdr:colOff>107155</xdr:colOff>
      <xdr:row>18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0457FB8-4289-4C3D-9EF1-A6C7182C3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23392</xdr:colOff>
      <xdr:row>0</xdr:row>
      <xdr:rowOff>69055</xdr:rowOff>
    </xdr:from>
    <xdr:to>
      <xdr:col>24</xdr:col>
      <xdr:colOff>63733</xdr:colOff>
      <xdr:row>15</xdr:row>
      <xdr:rowOff>97630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33D243-F8AA-422F-A891-BD6BA5F8E6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</xdr:colOff>
      <xdr:row>15</xdr:row>
      <xdr:rowOff>0</xdr:rowOff>
    </xdr:from>
    <xdr:to>
      <xdr:col>13</xdr:col>
      <xdr:colOff>644339</xdr:colOff>
      <xdr:row>26</xdr:row>
      <xdr:rowOff>22412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9E4D78E-CF2B-4C27-95C0-39AF65E39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26192</xdr:colOff>
      <xdr:row>7</xdr:row>
      <xdr:rowOff>35717</xdr:rowOff>
    </xdr:from>
    <xdr:to>
      <xdr:col>14</xdr:col>
      <xdr:colOff>147637</xdr:colOff>
      <xdr:row>27</xdr:row>
      <xdr:rowOff>161924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5FE5050-3FF1-40A5-90F0-5138553EEF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C729-F0A9-4CAC-B5FF-77F4CE16AFB0}">
  <dimension ref="A1:V137"/>
  <sheetViews>
    <sheetView tabSelected="1" workbookViewId="0">
      <selection activeCell="D13" sqref="D13"/>
    </sheetView>
  </sheetViews>
  <sheetFormatPr defaultRowHeight="14.25" x14ac:dyDescent="0.45"/>
  <cols>
    <col min="14" max="14" width="9.06640625" customWidth="1"/>
  </cols>
  <sheetData>
    <row r="1" spans="1:14" x14ac:dyDescent="0.45">
      <c r="A1" s="1" t="s">
        <v>0</v>
      </c>
      <c r="B1" s="1"/>
      <c r="C1" s="1"/>
      <c r="E1" s="1" t="s">
        <v>1</v>
      </c>
      <c r="F1" s="1"/>
    </row>
    <row r="3" spans="1:14" x14ac:dyDescent="0.45">
      <c r="A3" s="1">
        <v>1</v>
      </c>
      <c r="B3" s="1" t="s">
        <v>2</v>
      </c>
      <c r="C3" s="1"/>
      <c r="D3" s="1"/>
      <c r="E3" s="1"/>
      <c r="G3" s="1">
        <v>5</v>
      </c>
      <c r="H3" s="1" t="s">
        <v>22</v>
      </c>
      <c r="I3" s="1"/>
      <c r="J3" s="1"/>
      <c r="K3" s="1"/>
    </row>
    <row r="4" spans="1:14" x14ac:dyDescent="0.45">
      <c r="A4" s="3" t="s">
        <v>3</v>
      </c>
      <c r="B4" s="3"/>
      <c r="C4" s="3"/>
      <c r="D4" s="3"/>
      <c r="G4" s="3" t="s">
        <v>23</v>
      </c>
      <c r="H4" s="3"/>
      <c r="I4" s="3"/>
      <c r="J4" s="3"/>
      <c r="L4" s="3" t="s">
        <v>24</v>
      </c>
      <c r="M4" s="3"/>
      <c r="N4" s="3"/>
    </row>
    <row r="5" spans="1:14" x14ac:dyDescent="0.45">
      <c r="A5" t="s">
        <v>4</v>
      </c>
      <c r="D5" s="2">
        <v>121.8024231696524</v>
      </c>
      <c r="G5" t="s">
        <v>6</v>
      </c>
      <c r="H5" t="s">
        <v>7</v>
      </c>
      <c r="L5" t="s">
        <v>25</v>
      </c>
      <c r="M5" t="s">
        <v>26</v>
      </c>
    </row>
    <row r="6" spans="1:14" x14ac:dyDescent="0.45">
      <c r="G6">
        <v>4.0240974745920006</v>
      </c>
      <c r="H6">
        <v>0.23055957852352385</v>
      </c>
      <c r="L6">
        <f>SUM(L16:L137)</f>
        <v>26018.931367923502</v>
      </c>
    </row>
    <row r="7" spans="1:14" x14ac:dyDescent="0.45">
      <c r="A7" s="3" t="s">
        <v>5</v>
      </c>
      <c r="B7" s="3"/>
      <c r="C7" s="3"/>
      <c r="D7" s="3"/>
    </row>
    <row r="8" spans="1:14" x14ac:dyDescent="0.45">
      <c r="B8" t="s">
        <v>6</v>
      </c>
      <c r="C8" t="s">
        <v>7</v>
      </c>
      <c r="D8" t="s">
        <v>8</v>
      </c>
    </row>
    <row r="9" spans="1:14" x14ac:dyDescent="0.45">
      <c r="A9" t="s">
        <v>9</v>
      </c>
      <c r="B9">
        <v>3</v>
      </c>
      <c r="C9">
        <v>0.3</v>
      </c>
      <c r="D9">
        <v>12</v>
      </c>
    </row>
    <row r="11" spans="1:14" x14ac:dyDescent="0.45">
      <c r="A11" s="3" t="s">
        <v>10</v>
      </c>
      <c r="B11" s="3"/>
    </row>
    <row r="12" spans="1:14" x14ac:dyDescent="0.45">
      <c r="B12">
        <v>3.6108939487603502</v>
      </c>
      <c r="C12">
        <v>0.218098819762235</v>
      </c>
      <c r="D12">
        <v>13.3578464859165</v>
      </c>
    </row>
    <row r="14" spans="1:14" x14ac:dyDescent="0.45">
      <c r="A14" s="1">
        <v>2</v>
      </c>
      <c r="B14" s="1" t="s">
        <v>11</v>
      </c>
      <c r="C14" s="1"/>
      <c r="D14" s="1"/>
      <c r="E14" s="1"/>
      <c r="G14" s="1">
        <v>3</v>
      </c>
      <c r="H14" s="1" t="s">
        <v>17</v>
      </c>
      <c r="I14" s="1"/>
      <c r="K14" s="1">
        <v>4</v>
      </c>
      <c r="L14" s="1" t="s">
        <v>19</v>
      </c>
      <c r="M14" s="1"/>
    </row>
    <row r="15" spans="1:14" x14ac:dyDescent="0.45">
      <c r="A15" t="s">
        <v>12</v>
      </c>
      <c r="B15" t="s">
        <v>13</v>
      </c>
      <c r="C15" t="s">
        <v>14</v>
      </c>
      <c r="D15" t="s">
        <v>15</v>
      </c>
      <c r="E15" t="s">
        <v>16</v>
      </c>
      <c r="G15" t="s">
        <v>18</v>
      </c>
      <c r="K15" t="s">
        <v>20</v>
      </c>
      <c r="L15" t="s">
        <v>21</v>
      </c>
    </row>
    <row r="16" spans="1:14" x14ac:dyDescent="0.45">
      <c r="A16">
        <v>1</v>
      </c>
      <c r="B16">
        <v>1</v>
      </c>
      <c r="C16">
        <f>$B$12+$C$12*B16</f>
        <v>3.8289927685225851</v>
      </c>
      <c r="D16">
        <v>-1.7973889043787494E-3</v>
      </c>
      <c r="E16">
        <f>C16+$D$12*D16</f>
        <v>3.8049835234624041</v>
      </c>
      <c r="G16">
        <f>$G$6+$H$6*B16</f>
        <v>4.2546570531155243</v>
      </c>
      <c r="K16">
        <f>E16-G16</f>
        <v>-0.44967352965312024</v>
      </c>
      <c r="L16">
        <f>K16^2</f>
        <v>0.20220628327069562</v>
      </c>
    </row>
    <row r="17" spans="1:12" x14ac:dyDescent="0.45">
      <c r="A17">
        <f>A16+1</f>
        <v>2</v>
      </c>
      <c r="B17">
        <f>B16+1</f>
        <v>2</v>
      </c>
      <c r="C17">
        <f>$B$12+$C$12*B17</f>
        <v>4.04709158828482</v>
      </c>
      <c r="D17">
        <v>-2.6600537239573896</v>
      </c>
      <c r="E17">
        <f>C17+$D$12*D17</f>
        <v>-31.485497700628493</v>
      </c>
      <c r="G17">
        <f t="shared" ref="G17:G80" si="0">$G$6+$H$6*B17</f>
        <v>4.485216631639048</v>
      </c>
      <c r="K17">
        <f t="shared" ref="K17:K80" si="1">E17-G17</f>
        <v>-35.970714332267541</v>
      </c>
      <c r="L17">
        <f t="shared" ref="L17:L80" si="2">K17^2</f>
        <v>1293.8922895735975</v>
      </c>
    </row>
    <row r="18" spans="1:12" x14ac:dyDescent="0.45">
      <c r="A18">
        <f t="shared" ref="A18:A81" si="3">A17+1</f>
        <v>3</v>
      </c>
      <c r="B18">
        <f t="shared" ref="B18:B81" si="4">B17+1</f>
        <v>3</v>
      </c>
      <c r="C18">
        <f>$B$12+$C$12*B18</f>
        <v>4.2651904080470553</v>
      </c>
      <c r="D18">
        <v>-1.253320078831166</v>
      </c>
      <c r="E18">
        <f>C18+$D$12*D18</f>
        <v>-12.476466802696429</v>
      </c>
      <c r="G18">
        <f t="shared" si="0"/>
        <v>4.7157762101625718</v>
      </c>
      <c r="K18">
        <f t="shared" si="1"/>
        <v>-17.192243012859002</v>
      </c>
      <c r="L18">
        <f t="shared" si="2"/>
        <v>295.57321981319916</v>
      </c>
    </row>
    <row r="19" spans="1:12" x14ac:dyDescent="0.45">
      <c r="A19">
        <f t="shared" si="3"/>
        <v>4</v>
      </c>
      <c r="B19">
        <f t="shared" si="4"/>
        <v>4</v>
      </c>
      <c r="C19">
        <f t="shared" ref="C19:C80" si="5">$B$12+$C$12*B19</f>
        <v>4.4832892278092906</v>
      </c>
      <c r="D19">
        <v>0.73397131927777082</v>
      </c>
      <c r="E19">
        <f t="shared" ref="E19:E80" si="6">C19+$D$12*D19</f>
        <v>14.287565435787359</v>
      </c>
      <c r="G19">
        <f t="shared" si="0"/>
        <v>4.9463357886860964</v>
      </c>
      <c r="K19">
        <f t="shared" si="1"/>
        <v>9.3412296471012617</v>
      </c>
      <c r="L19">
        <f t="shared" si="2"/>
        <v>87.258571319883558</v>
      </c>
    </row>
    <row r="20" spans="1:12" x14ac:dyDescent="0.45">
      <c r="A20">
        <f t="shared" si="3"/>
        <v>5</v>
      </c>
      <c r="B20">
        <f t="shared" si="4"/>
        <v>5</v>
      </c>
      <c r="C20">
        <f t="shared" si="5"/>
        <v>4.7013880475715251</v>
      </c>
      <c r="D20">
        <v>1.5661498764529824</v>
      </c>
      <c r="E20">
        <f t="shared" si="6"/>
        <v>25.621777671167557</v>
      </c>
      <c r="G20">
        <f t="shared" si="0"/>
        <v>5.1768953672096201</v>
      </c>
      <c r="K20">
        <f t="shared" si="1"/>
        <v>20.444882303957936</v>
      </c>
      <c r="L20">
        <f t="shared" si="2"/>
        <v>417.99321242269235</v>
      </c>
    </row>
    <row r="21" spans="1:12" x14ac:dyDescent="0.45">
      <c r="A21">
        <f t="shared" si="3"/>
        <v>6</v>
      </c>
      <c r="B21">
        <f t="shared" si="4"/>
        <v>6</v>
      </c>
      <c r="C21">
        <f t="shared" si="5"/>
        <v>4.9194868673337604</v>
      </c>
      <c r="D21">
        <v>-0.70150804276636336</v>
      </c>
      <c r="E21">
        <f t="shared" si="6"/>
        <v>-4.4511498765750686</v>
      </c>
      <c r="G21">
        <f t="shared" si="0"/>
        <v>5.4074549457331438</v>
      </c>
      <c r="K21">
        <f t="shared" si="1"/>
        <v>-9.8586048223082123</v>
      </c>
      <c r="L21">
        <f t="shared" si="2"/>
        <v>97.192089042438738</v>
      </c>
    </row>
    <row r="22" spans="1:12" x14ac:dyDescent="0.45">
      <c r="A22">
        <f t="shared" si="3"/>
        <v>7</v>
      </c>
      <c r="B22">
        <f t="shared" si="4"/>
        <v>7</v>
      </c>
      <c r="C22">
        <f t="shared" si="5"/>
        <v>5.1375856870959957</v>
      </c>
      <c r="D22">
        <v>-9.7959400591207668E-2</v>
      </c>
      <c r="E22">
        <f t="shared" si="6"/>
        <v>3.8290590521462455</v>
      </c>
      <c r="G22">
        <f t="shared" si="0"/>
        <v>5.6380145242566675</v>
      </c>
      <c r="K22">
        <f t="shared" si="1"/>
        <v>-1.808955472110422</v>
      </c>
      <c r="L22">
        <f t="shared" si="2"/>
        <v>3.2723199000782395</v>
      </c>
    </row>
    <row r="23" spans="1:12" x14ac:dyDescent="0.45">
      <c r="A23">
        <f t="shared" si="3"/>
        <v>8</v>
      </c>
      <c r="B23">
        <f t="shared" si="4"/>
        <v>8</v>
      </c>
      <c r="C23">
        <f t="shared" si="5"/>
        <v>5.3556845068582302</v>
      </c>
      <c r="D23">
        <v>-0.78772018241579644</v>
      </c>
      <c r="E23">
        <f t="shared" si="6"/>
        <v>-5.1665607637101214</v>
      </c>
      <c r="G23">
        <f t="shared" si="0"/>
        <v>5.8685741027801912</v>
      </c>
      <c r="K23">
        <f t="shared" si="1"/>
        <v>-11.035134866490313</v>
      </c>
      <c r="L23">
        <f t="shared" si="2"/>
        <v>121.77420152163019</v>
      </c>
    </row>
    <row r="24" spans="1:12" x14ac:dyDescent="0.45">
      <c r="A24">
        <f t="shared" si="3"/>
        <v>9</v>
      </c>
      <c r="B24">
        <f t="shared" si="4"/>
        <v>9</v>
      </c>
      <c r="C24">
        <f t="shared" si="5"/>
        <v>5.5737833266204646</v>
      </c>
      <c r="D24">
        <v>1.2498048818088137</v>
      </c>
      <c r="E24">
        <f t="shared" si="6"/>
        <v>22.268485075171615</v>
      </c>
      <c r="G24">
        <f t="shared" si="0"/>
        <v>6.0991336813037158</v>
      </c>
      <c r="K24">
        <f t="shared" si="1"/>
        <v>16.169351393867899</v>
      </c>
      <c r="L24">
        <f t="shared" si="2"/>
        <v>261.44792449837774</v>
      </c>
    </row>
    <row r="25" spans="1:12" x14ac:dyDescent="0.45">
      <c r="A25">
        <f t="shared" si="3"/>
        <v>10</v>
      </c>
      <c r="B25">
        <f t="shared" si="4"/>
        <v>10</v>
      </c>
      <c r="C25">
        <f t="shared" si="5"/>
        <v>5.7918821463826999</v>
      </c>
      <c r="D25">
        <v>2.2419590095523745</v>
      </c>
      <c r="E25">
        <f t="shared" si="6"/>
        <v>35.73962642370072</v>
      </c>
      <c r="G25">
        <f t="shared" si="0"/>
        <v>6.3296932598272395</v>
      </c>
      <c r="K25">
        <f t="shared" si="1"/>
        <v>29.409933163873482</v>
      </c>
      <c r="L25">
        <f t="shared" si="2"/>
        <v>864.94416870350528</v>
      </c>
    </row>
    <row r="26" spans="1:12" x14ac:dyDescent="0.45">
      <c r="A26">
        <f t="shared" si="3"/>
        <v>11</v>
      </c>
      <c r="B26">
        <f t="shared" si="4"/>
        <v>11</v>
      </c>
      <c r="C26">
        <f t="shared" si="5"/>
        <v>6.0099809661449353</v>
      </c>
      <c r="D26">
        <v>1.6349758880096488</v>
      </c>
      <c r="E26">
        <f t="shared" si="6"/>
        <v>27.849737886352834</v>
      </c>
      <c r="G26">
        <f t="shared" si="0"/>
        <v>6.5602528383507632</v>
      </c>
      <c r="K26">
        <f t="shared" si="1"/>
        <v>21.289485048002071</v>
      </c>
      <c r="L26">
        <f t="shared" si="2"/>
        <v>453.24217360910376</v>
      </c>
    </row>
    <row r="27" spans="1:12" x14ac:dyDescent="0.45">
      <c r="A27">
        <f t="shared" si="3"/>
        <v>12</v>
      </c>
      <c r="B27">
        <f t="shared" si="4"/>
        <v>12</v>
      </c>
      <c r="C27">
        <f t="shared" si="5"/>
        <v>6.2280797859071697</v>
      </c>
      <c r="D27">
        <v>1.6485182641190477</v>
      </c>
      <c r="E27">
        <f t="shared" si="6"/>
        <v>28.24873368723896</v>
      </c>
      <c r="G27">
        <f t="shared" si="0"/>
        <v>6.7908124168742869</v>
      </c>
      <c r="K27">
        <f t="shared" si="1"/>
        <v>21.457921270364672</v>
      </c>
      <c r="L27">
        <f t="shared" si="2"/>
        <v>460.44238524516862</v>
      </c>
    </row>
    <row r="28" spans="1:12" x14ac:dyDescent="0.45">
      <c r="A28">
        <f t="shared" si="3"/>
        <v>13</v>
      </c>
      <c r="B28">
        <f t="shared" si="4"/>
        <v>13</v>
      </c>
      <c r="C28">
        <f t="shared" si="5"/>
        <v>6.446178605669405</v>
      </c>
      <c r="D28">
        <v>1.7773982108337805</v>
      </c>
      <c r="E28">
        <f t="shared" si="6"/>
        <v>30.188391050329695</v>
      </c>
      <c r="G28">
        <f t="shared" si="0"/>
        <v>7.0213719953978107</v>
      </c>
      <c r="K28">
        <f t="shared" si="1"/>
        <v>23.167019054931885</v>
      </c>
      <c r="L28">
        <f t="shared" si="2"/>
        <v>536.710771891577</v>
      </c>
    </row>
    <row r="29" spans="1:12" x14ac:dyDescent="0.45">
      <c r="A29">
        <f t="shared" si="3"/>
        <v>14</v>
      </c>
      <c r="B29">
        <f t="shared" si="4"/>
        <v>14</v>
      </c>
      <c r="C29">
        <f t="shared" si="5"/>
        <v>6.6642774254316404</v>
      </c>
      <c r="D29">
        <v>-0.3631225808931049</v>
      </c>
      <c r="E29">
        <f t="shared" si="6"/>
        <v>1.8137417342917495</v>
      </c>
      <c r="G29">
        <f t="shared" si="0"/>
        <v>7.2519315739213344</v>
      </c>
      <c r="K29">
        <f t="shared" si="1"/>
        <v>-5.4381898396295849</v>
      </c>
      <c r="L29">
        <f t="shared" si="2"/>
        <v>29.573908731850452</v>
      </c>
    </row>
    <row r="30" spans="1:12" x14ac:dyDescent="0.45">
      <c r="A30">
        <f t="shared" si="3"/>
        <v>15</v>
      </c>
      <c r="B30">
        <f t="shared" si="4"/>
        <v>15</v>
      </c>
      <c r="C30">
        <f t="shared" si="5"/>
        <v>6.8823762451938748</v>
      </c>
      <c r="D30">
        <v>1.5181694834609516</v>
      </c>
      <c r="E30">
        <f t="shared" si="6"/>
        <v>27.161851144868415</v>
      </c>
      <c r="G30">
        <f t="shared" si="0"/>
        <v>7.4824911524448581</v>
      </c>
      <c r="K30">
        <f t="shared" si="1"/>
        <v>19.679359992423556</v>
      </c>
      <c r="L30">
        <f t="shared" si="2"/>
        <v>387.27720971140087</v>
      </c>
    </row>
    <row r="31" spans="1:12" x14ac:dyDescent="0.45">
      <c r="A31">
        <f t="shared" si="3"/>
        <v>16</v>
      </c>
      <c r="B31">
        <f t="shared" si="4"/>
        <v>16</v>
      </c>
      <c r="C31">
        <f t="shared" si="5"/>
        <v>7.1004750649561101</v>
      </c>
      <c r="D31">
        <v>-0.74664967542048544</v>
      </c>
      <c r="E31">
        <f t="shared" si="6"/>
        <v>-2.8731566780701163</v>
      </c>
      <c r="G31">
        <f t="shared" si="0"/>
        <v>7.7130507309683818</v>
      </c>
      <c r="K31">
        <f t="shared" si="1"/>
        <v>-10.586207409038497</v>
      </c>
      <c r="L31">
        <f t="shared" si="2"/>
        <v>112.06778730718158</v>
      </c>
    </row>
    <row r="32" spans="1:12" x14ac:dyDescent="0.45">
      <c r="A32">
        <f t="shared" si="3"/>
        <v>17</v>
      </c>
      <c r="B32">
        <f t="shared" si="4"/>
        <v>17</v>
      </c>
      <c r="C32">
        <f t="shared" si="5"/>
        <v>7.3185738847183455</v>
      </c>
      <c r="D32">
        <v>0.91548827185761184</v>
      </c>
      <c r="E32">
        <f t="shared" si="6"/>
        <v>19.547525679849315</v>
      </c>
      <c r="G32">
        <f t="shared" si="0"/>
        <v>7.9436103094919055</v>
      </c>
      <c r="K32">
        <f t="shared" si="1"/>
        <v>11.603915370357409</v>
      </c>
      <c r="L32">
        <f t="shared" si="2"/>
        <v>134.65085192241693</v>
      </c>
    </row>
    <row r="33" spans="1:19" x14ac:dyDescent="0.45">
      <c r="A33">
        <f t="shared" si="3"/>
        <v>18</v>
      </c>
      <c r="B33">
        <f t="shared" si="4"/>
        <v>18</v>
      </c>
      <c r="C33">
        <f t="shared" si="5"/>
        <v>7.5366727044805799</v>
      </c>
      <c r="D33">
        <v>3.75314357370371E-2</v>
      </c>
      <c r="E33">
        <f t="shared" si="6"/>
        <v>8.0380118614519613</v>
      </c>
      <c r="G33">
        <f t="shared" si="0"/>
        <v>8.174169888015431</v>
      </c>
      <c r="K33">
        <f t="shared" si="1"/>
        <v>-0.13615802656346965</v>
      </c>
      <c r="L33">
        <f t="shared" si="2"/>
        <v>1.8539008197658507E-2</v>
      </c>
    </row>
    <row r="34" spans="1:19" x14ac:dyDescent="0.45">
      <c r="A34">
        <f t="shared" si="3"/>
        <v>19</v>
      </c>
      <c r="B34">
        <f t="shared" si="4"/>
        <v>19</v>
      </c>
      <c r="C34">
        <f t="shared" si="5"/>
        <v>7.7547715242428152</v>
      </c>
      <c r="D34">
        <v>1.1686097423080355</v>
      </c>
      <c r="E34">
        <f t="shared" si="6"/>
        <v>23.364881063939993</v>
      </c>
      <c r="G34">
        <f t="shared" si="0"/>
        <v>8.4047294665389529</v>
      </c>
      <c r="K34">
        <f t="shared" si="1"/>
        <v>14.96015159740104</v>
      </c>
      <c r="L34">
        <f t="shared" si="2"/>
        <v>223.80613581722091</v>
      </c>
    </row>
    <row r="35" spans="1:19" x14ac:dyDescent="0.45">
      <c r="A35">
        <f t="shared" si="3"/>
        <v>20</v>
      </c>
      <c r="B35">
        <f t="shared" si="4"/>
        <v>20</v>
      </c>
      <c r="C35">
        <f t="shared" si="5"/>
        <v>7.9728703440050497</v>
      </c>
      <c r="D35">
        <v>-0.39228780224220827</v>
      </c>
      <c r="E35">
        <f t="shared" si="6"/>
        <v>2.7327501033560608</v>
      </c>
      <c r="G35">
        <f t="shared" si="0"/>
        <v>8.6352890450624784</v>
      </c>
      <c r="K35">
        <f t="shared" si="1"/>
        <v>-5.9025389417064176</v>
      </c>
      <c r="L35">
        <f t="shared" si="2"/>
        <v>34.839965958360715</v>
      </c>
      <c r="N35" s="1">
        <v>6</v>
      </c>
      <c r="O35" s="1" t="s">
        <v>27</v>
      </c>
      <c r="P35" s="1"/>
      <c r="Q35" s="1"/>
      <c r="R35" s="1"/>
      <c r="S35" s="1"/>
    </row>
    <row r="36" spans="1:19" x14ac:dyDescent="0.45">
      <c r="A36">
        <f t="shared" si="3"/>
        <v>21</v>
      </c>
      <c r="B36">
        <f t="shared" si="4"/>
        <v>21</v>
      </c>
      <c r="C36">
        <f t="shared" si="5"/>
        <v>8.190969163767285</v>
      </c>
      <c r="D36">
        <v>-1.7043248590198345</v>
      </c>
      <c r="E36">
        <f t="shared" si="6"/>
        <v>-14.575140665150947</v>
      </c>
      <c r="G36">
        <f t="shared" si="0"/>
        <v>8.8658486235860003</v>
      </c>
      <c r="K36">
        <f t="shared" si="1"/>
        <v>-23.440989288736947</v>
      </c>
      <c r="L36">
        <f t="shared" si="2"/>
        <v>549.47997883468031</v>
      </c>
      <c r="N36" t="s">
        <v>28</v>
      </c>
    </row>
    <row r="37" spans="1:19" ht="14.65" thickBot="1" x14ac:dyDescent="0.5">
      <c r="A37">
        <f t="shared" si="3"/>
        <v>22</v>
      </c>
      <c r="B37">
        <f t="shared" si="4"/>
        <v>22</v>
      </c>
      <c r="C37">
        <f t="shared" si="5"/>
        <v>8.4090679835295212</v>
      </c>
      <c r="D37">
        <v>0.83070517575833946</v>
      </c>
      <c r="E37">
        <f t="shared" si="6"/>
        <v>19.505500196365706</v>
      </c>
      <c r="G37">
        <f t="shared" si="0"/>
        <v>9.0964082021095258</v>
      </c>
      <c r="K37">
        <f t="shared" si="1"/>
        <v>10.40909199425618</v>
      </c>
      <c r="L37">
        <f t="shared" si="2"/>
        <v>108.3491961448881</v>
      </c>
    </row>
    <row r="38" spans="1:19" x14ac:dyDescent="0.45">
      <c r="A38">
        <f t="shared" si="3"/>
        <v>23</v>
      </c>
      <c r="B38">
        <f t="shared" si="4"/>
        <v>23</v>
      </c>
      <c r="C38">
        <f t="shared" si="5"/>
        <v>8.6271668032917539</v>
      </c>
      <c r="D38">
        <v>-1.6048625184339471</v>
      </c>
      <c r="E38">
        <f t="shared" si="6"/>
        <v>-12.810340348950252</v>
      </c>
      <c r="G38">
        <f t="shared" si="0"/>
        <v>9.3269677806330495</v>
      </c>
      <c r="K38">
        <f t="shared" si="1"/>
        <v>-22.137308129583303</v>
      </c>
      <c r="L38">
        <f t="shared" si="2"/>
        <v>490.060411224115</v>
      </c>
      <c r="N38" s="7" t="s">
        <v>29</v>
      </c>
      <c r="O38" s="7"/>
    </row>
    <row r="39" spans="1:19" x14ac:dyDescent="0.45">
      <c r="A39">
        <f t="shared" si="3"/>
        <v>24</v>
      </c>
      <c r="B39">
        <f t="shared" si="4"/>
        <v>24</v>
      </c>
      <c r="C39">
        <f t="shared" si="5"/>
        <v>8.8452656230539901</v>
      </c>
      <c r="D39">
        <v>-1.2694226825260557</v>
      </c>
      <c r="E39">
        <f t="shared" si="6"/>
        <v>-8.111487695869382</v>
      </c>
      <c r="G39">
        <f t="shared" si="0"/>
        <v>9.5575273591565733</v>
      </c>
      <c r="K39">
        <f t="shared" si="1"/>
        <v>-17.669015055025955</v>
      </c>
      <c r="L39">
        <f t="shared" si="2"/>
        <v>312.19409301473388</v>
      </c>
      <c r="N39" s="4" t="s">
        <v>30</v>
      </c>
      <c r="O39" s="4">
        <v>0.48593817745855949</v>
      </c>
    </row>
    <row r="40" spans="1:19" x14ac:dyDescent="0.45">
      <c r="A40">
        <f t="shared" si="3"/>
        <v>25</v>
      </c>
      <c r="B40">
        <f t="shared" si="4"/>
        <v>25</v>
      </c>
      <c r="C40">
        <f t="shared" si="5"/>
        <v>9.0633644428162263</v>
      </c>
      <c r="D40">
        <v>1.2738860277750064</v>
      </c>
      <c r="E40">
        <f t="shared" si="6"/>
        <v>26.079738442388724</v>
      </c>
      <c r="G40">
        <f t="shared" si="0"/>
        <v>9.788086937680097</v>
      </c>
      <c r="K40">
        <f t="shared" si="1"/>
        <v>16.291651504708625</v>
      </c>
      <c r="L40">
        <f t="shared" si="2"/>
        <v>265.4179087508748</v>
      </c>
      <c r="N40" s="4" t="s">
        <v>31</v>
      </c>
      <c r="O40" s="4">
        <v>0.23613591231174644</v>
      </c>
    </row>
    <row r="41" spans="1:19" x14ac:dyDescent="0.45">
      <c r="A41">
        <f t="shared" si="3"/>
        <v>26</v>
      </c>
      <c r="B41">
        <f t="shared" si="4"/>
        <v>26</v>
      </c>
      <c r="C41">
        <f t="shared" si="5"/>
        <v>9.281463262578459</v>
      </c>
      <c r="D41">
        <v>2.2908352548256516</v>
      </c>
      <c r="E41">
        <f t="shared" si="6"/>
        <v>39.88208892106492</v>
      </c>
      <c r="G41">
        <f t="shared" si="0"/>
        <v>10.018646516203621</v>
      </c>
      <c r="K41">
        <f t="shared" si="1"/>
        <v>29.863442404861299</v>
      </c>
      <c r="L41">
        <f t="shared" si="2"/>
        <v>891.82519226846807</v>
      </c>
      <c r="N41" s="4" t="s">
        <v>32</v>
      </c>
      <c r="O41" s="4">
        <v>0.22977037824767768</v>
      </c>
    </row>
    <row r="42" spans="1:19" x14ac:dyDescent="0.45">
      <c r="A42">
        <f t="shared" si="3"/>
        <v>27</v>
      </c>
      <c r="B42">
        <f t="shared" si="4"/>
        <v>27</v>
      </c>
      <c r="C42">
        <f t="shared" si="5"/>
        <v>9.4995620823406952</v>
      </c>
      <c r="D42">
        <v>1.1628753782133572</v>
      </c>
      <c r="E42">
        <f t="shared" si="6"/>
        <v>25.033072866766808</v>
      </c>
      <c r="G42">
        <f t="shared" si="0"/>
        <v>10.249206094727144</v>
      </c>
      <c r="K42">
        <f t="shared" si="1"/>
        <v>14.783866772039664</v>
      </c>
      <c r="L42">
        <f t="shared" si="2"/>
        <v>218.56271673341848</v>
      </c>
      <c r="N42" s="4" t="s">
        <v>33</v>
      </c>
      <c r="O42" s="4">
        <v>14.724959357024723</v>
      </c>
    </row>
    <row r="43" spans="1:19" ht="14.65" thickBot="1" x14ac:dyDescent="0.5">
      <c r="A43">
        <f t="shared" si="3"/>
        <v>28</v>
      </c>
      <c r="B43">
        <f t="shared" si="4"/>
        <v>28</v>
      </c>
      <c r="C43">
        <f t="shared" si="5"/>
        <v>9.7176609021029314</v>
      </c>
      <c r="D43">
        <v>-0.16184799278562423</v>
      </c>
      <c r="E43">
        <f t="shared" si="6"/>
        <v>7.5557202604188411</v>
      </c>
      <c r="G43">
        <f t="shared" si="0"/>
        <v>10.479765673250668</v>
      </c>
      <c r="K43">
        <f t="shared" si="1"/>
        <v>-2.924045412831827</v>
      </c>
      <c r="L43">
        <f t="shared" si="2"/>
        <v>8.5500415763028492</v>
      </c>
      <c r="N43" s="5" t="s">
        <v>34</v>
      </c>
      <c r="O43" s="5">
        <v>122</v>
      </c>
    </row>
    <row r="44" spans="1:19" x14ac:dyDescent="0.45">
      <c r="A44">
        <f t="shared" si="3"/>
        <v>29</v>
      </c>
      <c r="B44">
        <f t="shared" si="4"/>
        <v>29</v>
      </c>
      <c r="C44">
        <f t="shared" si="5"/>
        <v>9.9357597218651641</v>
      </c>
      <c r="D44">
        <v>-4.5494061851059087E-2</v>
      </c>
      <c r="E44">
        <f t="shared" si="6"/>
        <v>9.3280570276379269</v>
      </c>
      <c r="G44">
        <f t="shared" si="0"/>
        <v>10.710325251774194</v>
      </c>
      <c r="K44">
        <f t="shared" si="1"/>
        <v>-1.3822682241362667</v>
      </c>
      <c r="L44">
        <f t="shared" si="2"/>
        <v>1.9106654434568284</v>
      </c>
    </row>
    <row r="45" spans="1:19" ht="14.65" thickBot="1" x14ac:dyDescent="0.5">
      <c r="A45">
        <f t="shared" si="3"/>
        <v>30</v>
      </c>
      <c r="B45">
        <f t="shared" si="4"/>
        <v>30</v>
      </c>
      <c r="C45">
        <f t="shared" si="5"/>
        <v>10.1538585416274</v>
      </c>
      <c r="D45">
        <v>1.3656062947120517E-2</v>
      </c>
      <c r="E45">
        <f t="shared" si="6"/>
        <v>10.336274134077049</v>
      </c>
      <c r="G45">
        <f t="shared" si="0"/>
        <v>10.940884830297716</v>
      </c>
      <c r="K45">
        <f t="shared" si="1"/>
        <v>-0.6046106962206661</v>
      </c>
      <c r="L45">
        <f t="shared" si="2"/>
        <v>0.36555409398443861</v>
      </c>
      <c r="N45" t="s">
        <v>35</v>
      </c>
    </row>
    <row r="46" spans="1:19" x14ac:dyDescent="0.45">
      <c r="A46">
        <f t="shared" si="3"/>
        <v>31</v>
      </c>
      <c r="B46">
        <f t="shared" si="4"/>
        <v>31</v>
      </c>
      <c r="C46">
        <f t="shared" si="5"/>
        <v>10.371957361389635</v>
      </c>
      <c r="D46">
        <v>-5.6753606259007938E-2</v>
      </c>
      <c r="E46">
        <f t="shared" si="6"/>
        <v>9.613851401459657</v>
      </c>
      <c r="G46">
        <f t="shared" si="0"/>
        <v>11.171444408821241</v>
      </c>
      <c r="K46">
        <f t="shared" si="1"/>
        <v>-1.557593007361584</v>
      </c>
      <c r="L46">
        <f t="shared" si="2"/>
        <v>2.4260959765817036</v>
      </c>
      <c r="N46" s="6"/>
      <c r="O46" s="6" t="s">
        <v>40</v>
      </c>
      <c r="P46" s="6" t="s">
        <v>41</v>
      </c>
      <c r="Q46" s="6" t="s">
        <v>42</v>
      </c>
      <c r="R46" s="6" t="s">
        <v>43</v>
      </c>
      <c r="S46" s="6" t="s">
        <v>44</v>
      </c>
    </row>
    <row r="47" spans="1:19" x14ac:dyDescent="0.45">
      <c r="A47">
        <f t="shared" si="3"/>
        <v>32</v>
      </c>
      <c r="B47">
        <f t="shared" si="4"/>
        <v>32</v>
      </c>
      <c r="C47">
        <f t="shared" si="5"/>
        <v>10.590056181151869</v>
      </c>
      <c r="D47">
        <v>-0.39344513425021432</v>
      </c>
      <c r="E47">
        <f t="shared" si="6"/>
        <v>5.3344764772066977</v>
      </c>
      <c r="G47">
        <f t="shared" si="0"/>
        <v>11.402003987344763</v>
      </c>
      <c r="K47">
        <f t="shared" si="1"/>
        <v>-6.0675275101380652</v>
      </c>
      <c r="L47">
        <f t="shared" si="2"/>
        <v>36.814890086282226</v>
      </c>
      <c r="N47" s="4" t="s">
        <v>36</v>
      </c>
      <c r="O47" s="4">
        <v>1</v>
      </c>
      <c r="P47" s="4">
        <v>8043.3210501301</v>
      </c>
      <c r="Q47" s="4">
        <v>8043.3210501301</v>
      </c>
      <c r="R47" s="4">
        <v>37.096009531180002</v>
      </c>
      <c r="S47" s="4">
        <v>1.3963099584082382E-8</v>
      </c>
    </row>
    <row r="48" spans="1:19" x14ac:dyDescent="0.45">
      <c r="A48">
        <f t="shared" si="3"/>
        <v>33</v>
      </c>
      <c r="B48">
        <f t="shared" si="4"/>
        <v>33</v>
      </c>
      <c r="C48">
        <f t="shared" si="5"/>
        <v>10.808155000914105</v>
      </c>
      <c r="D48">
        <v>-1.0744952305685729</v>
      </c>
      <c r="E48">
        <f t="shared" si="6"/>
        <v>-3.5447873388703464</v>
      </c>
      <c r="G48">
        <f t="shared" si="0"/>
        <v>11.632563565868288</v>
      </c>
      <c r="K48">
        <f t="shared" si="1"/>
        <v>-15.177350904738635</v>
      </c>
      <c r="L48">
        <f t="shared" si="2"/>
        <v>230.35198048557066</v>
      </c>
      <c r="N48" s="4" t="s">
        <v>37</v>
      </c>
      <c r="O48" s="4">
        <v>120</v>
      </c>
      <c r="P48" s="4">
        <v>26018.931367923593</v>
      </c>
      <c r="Q48" s="4">
        <v>216.82442806602995</v>
      </c>
      <c r="R48" s="4"/>
      <c r="S48" s="4"/>
    </row>
    <row r="49" spans="1:22" ht="14.65" thickBot="1" x14ac:dyDescent="0.5">
      <c r="A49">
        <f t="shared" si="3"/>
        <v>34</v>
      </c>
      <c r="B49">
        <f t="shared" si="4"/>
        <v>34</v>
      </c>
      <c r="C49">
        <f t="shared" si="5"/>
        <v>11.02625382067634</v>
      </c>
      <c r="D49">
        <v>0.74190666055073962</v>
      </c>
      <c r="E49">
        <f t="shared" si="6"/>
        <v>20.936529099192082</v>
      </c>
      <c r="G49">
        <f t="shared" si="0"/>
        <v>11.86312314439181</v>
      </c>
      <c r="K49">
        <f t="shared" si="1"/>
        <v>9.0734059548002719</v>
      </c>
      <c r="L49">
        <f t="shared" si="2"/>
        <v>82.326695620605037</v>
      </c>
      <c r="N49" s="5" t="s">
        <v>38</v>
      </c>
      <c r="O49" s="5">
        <v>121</v>
      </c>
      <c r="P49" s="5">
        <v>34062.252418053693</v>
      </c>
      <c r="Q49" s="5"/>
      <c r="R49" s="5"/>
      <c r="S49" s="5"/>
    </row>
    <row r="50" spans="1:22" ht="14.65" thickBot="1" x14ac:dyDescent="0.5">
      <c r="A50">
        <f t="shared" si="3"/>
        <v>35</v>
      </c>
      <c r="B50">
        <f t="shared" si="4"/>
        <v>35</v>
      </c>
      <c r="C50">
        <f t="shared" si="5"/>
        <v>11.244352640438574</v>
      </c>
      <c r="D50">
        <v>0.46202558223740198</v>
      </c>
      <c r="E50">
        <f t="shared" si="6"/>
        <v>17.416019440531979</v>
      </c>
      <c r="G50">
        <f t="shared" si="0"/>
        <v>12.093682722915336</v>
      </c>
      <c r="K50">
        <f t="shared" si="1"/>
        <v>5.3223367176166434</v>
      </c>
      <c r="L50">
        <f t="shared" si="2"/>
        <v>28.327268135690307</v>
      </c>
    </row>
    <row r="51" spans="1:22" x14ac:dyDescent="0.45">
      <c r="A51">
        <f t="shared" si="3"/>
        <v>36</v>
      </c>
      <c r="B51">
        <f t="shared" si="4"/>
        <v>36</v>
      </c>
      <c r="C51">
        <f t="shared" si="5"/>
        <v>11.462451460200811</v>
      </c>
      <c r="D51">
        <v>0.17309730537817813</v>
      </c>
      <c r="E51">
        <f t="shared" si="6"/>
        <v>13.774658692568323</v>
      </c>
      <c r="G51">
        <f t="shared" si="0"/>
        <v>12.32424230143886</v>
      </c>
      <c r="K51">
        <f t="shared" si="1"/>
        <v>1.4504163911294636</v>
      </c>
      <c r="L51">
        <f t="shared" si="2"/>
        <v>2.1037077076570174</v>
      </c>
      <c r="N51" s="6"/>
      <c r="O51" s="6" t="s">
        <v>45</v>
      </c>
      <c r="P51" s="6" t="s">
        <v>33</v>
      </c>
      <c r="Q51" s="6" t="s">
        <v>46</v>
      </c>
      <c r="R51" s="6" t="s">
        <v>47</v>
      </c>
      <c r="S51" s="6" t="s">
        <v>48</v>
      </c>
      <c r="T51" s="6" t="s">
        <v>49</v>
      </c>
      <c r="U51" s="6" t="s">
        <v>50</v>
      </c>
      <c r="V51" s="6" t="s">
        <v>51</v>
      </c>
    </row>
    <row r="52" spans="1:22" x14ac:dyDescent="0.45">
      <c r="A52">
        <f t="shared" si="3"/>
        <v>37</v>
      </c>
      <c r="B52">
        <f t="shared" si="4"/>
        <v>37</v>
      </c>
      <c r="C52">
        <f t="shared" si="5"/>
        <v>11.680550279963047</v>
      </c>
      <c r="D52">
        <v>0.15665705177525524</v>
      </c>
      <c r="E52">
        <f t="shared" si="6"/>
        <v>13.773151128513179</v>
      </c>
      <c r="G52">
        <f t="shared" si="0"/>
        <v>12.554801879962383</v>
      </c>
      <c r="K52">
        <f t="shared" si="1"/>
        <v>1.2183492485507958</v>
      </c>
      <c r="L52">
        <f t="shared" si="2"/>
        <v>1.4843748914442889</v>
      </c>
      <c r="N52" s="4" t="s">
        <v>39</v>
      </c>
      <c r="O52" s="4">
        <v>4.024097455486741</v>
      </c>
      <c r="P52" s="4">
        <v>2.6827459274864704</v>
      </c>
      <c r="Q52" s="4">
        <v>1.4999920097752288</v>
      </c>
      <c r="R52" s="4">
        <v>0.13624290301747194</v>
      </c>
      <c r="S52" s="4">
        <v>-1.2875527754548166</v>
      </c>
      <c r="T52" s="4">
        <v>9.3357476864282987</v>
      </c>
      <c r="U52" s="4">
        <v>-1.2875527754548166</v>
      </c>
      <c r="V52" s="4">
        <v>9.3357476864282987</v>
      </c>
    </row>
    <row r="53" spans="1:22" ht="14.65" thickBot="1" x14ac:dyDescent="0.5">
      <c r="A53">
        <f t="shared" si="3"/>
        <v>38</v>
      </c>
      <c r="B53">
        <f t="shared" si="4"/>
        <v>38</v>
      </c>
      <c r="C53">
        <f t="shared" si="5"/>
        <v>11.898649099725279</v>
      </c>
      <c r="D53">
        <v>0.20151446733507328</v>
      </c>
      <c r="E53">
        <f t="shared" si="6"/>
        <v>14.590448419078424</v>
      </c>
      <c r="G53">
        <f t="shared" si="0"/>
        <v>12.785361458485907</v>
      </c>
      <c r="K53">
        <f t="shared" si="1"/>
        <v>1.8050869605925168</v>
      </c>
      <c r="L53">
        <f t="shared" si="2"/>
        <v>3.2583389353011305</v>
      </c>
      <c r="N53" s="5" t="s">
        <v>52</v>
      </c>
      <c r="O53" s="5">
        <v>0.23055957811809874</v>
      </c>
      <c r="P53" s="5">
        <v>3.7854679326707719E-2</v>
      </c>
      <c r="Q53" s="5">
        <v>6.0906493521774836</v>
      </c>
      <c r="R53" s="5">
        <v>1.3963099584082382E-8</v>
      </c>
      <c r="S53" s="5">
        <v>0.15560994754450441</v>
      </c>
      <c r="T53" s="5">
        <v>0.30550920869169307</v>
      </c>
      <c r="U53" s="5">
        <v>0.15560994754450441</v>
      </c>
      <c r="V53" s="5">
        <v>0.30550920869169307</v>
      </c>
    </row>
    <row r="54" spans="1:22" x14ac:dyDescent="0.45">
      <c r="A54">
        <f t="shared" si="3"/>
        <v>39</v>
      </c>
      <c r="B54">
        <f t="shared" si="4"/>
        <v>39</v>
      </c>
      <c r="C54">
        <f t="shared" si="5"/>
        <v>12.116747919487516</v>
      </c>
      <c r="D54">
        <v>-1.6888407117221504</v>
      </c>
      <c r="E54">
        <f t="shared" si="6"/>
        <v>-10.442527046862931</v>
      </c>
      <c r="G54">
        <f t="shared" si="0"/>
        <v>13.015921037009431</v>
      </c>
      <c r="K54">
        <f t="shared" si="1"/>
        <v>-23.458448083872362</v>
      </c>
      <c r="L54">
        <f t="shared" si="2"/>
        <v>550.29878650373485</v>
      </c>
    </row>
    <row r="55" spans="1:22" x14ac:dyDescent="0.45">
      <c r="A55">
        <f t="shared" si="3"/>
        <v>40</v>
      </c>
      <c r="B55">
        <f t="shared" si="4"/>
        <v>40</v>
      </c>
      <c r="C55">
        <f t="shared" si="5"/>
        <v>12.334846739249748</v>
      </c>
      <c r="D55">
        <v>-1.618036549189128</v>
      </c>
      <c r="E55">
        <f t="shared" si="6"/>
        <v>-9.2786370934207056</v>
      </c>
      <c r="G55">
        <f t="shared" si="0"/>
        <v>13.246480615532954</v>
      </c>
      <c r="K55">
        <f t="shared" si="1"/>
        <v>-22.525117708953658</v>
      </c>
      <c r="L55">
        <f t="shared" si="2"/>
        <v>507.38092780221768</v>
      </c>
    </row>
    <row r="56" spans="1:22" x14ac:dyDescent="0.45">
      <c r="A56">
        <f t="shared" si="3"/>
        <v>41</v>
      </c>
      <c r="B56">
        <f t="shared" si="4"/>
        <v>41</v>
      </c>
      <c r="C56">
        <f t="shared" si="5"/>
        <v>12.552945559011984</v>
      </c>
      <c r="D56">
        <v>-0.16084072740341071</v>
      </c>
      <c r="E56">
        <f t="shared" si="6"/>
        <v>10.40445981367408</v>
      </c>
      <c r="G56">
        <f t="shared" si="0"/>
        <v>13.477040194056478</v>
      </c>
      <c r="K56">
        <f t="shared" si="1"/>
        <v>-3.0725803803823979</v>
      </c>
      <c r="L56">
        <f t="shared" si="2"/>
        <v>9.4407501939108407</v>
      </c>
    </row>
    <row r="57" spans="1:22" x14ac:dyDescent="0.45">
      <c r="A57">
        <f t="shared" si="3"/>
        <v>42</v>
      </c>
      <c r="B57">
        <f t="shared" si="4"/>
        <v>42</v>
      </c>
      <c r="C57">
        <f t="shared" si="5"/>
        <v>12.771044378774221</v>
      </c>
      <c r="D57">
        <v>0.57053284763242118</v>
      </c>
      <c r="E57">
        <f t="shared" si="6"/>
        <v>20.392134572620893</v>
      </c>
      <c r="G57">
        <f t="shared" si="0"/>
        <v>13.707599772580002</v>
      </c>
      <c r="K57">
        <f t="shared" si="1"/>
        <v>6.6845348000408915</v>
      </c>
      <c r="L57">
        <f t="shared" si="2"/>
        <v>44.683005492957719</v>
      </c>
    </row>
    <row r="58" spans="1:22" x14ac:dyDescent="0.45">
      <c r="A58">
        <f t="shared" si="3"/>
        <v>43</v>
      </c>
      <c r="B58">
        <f t="shared" si="4"/>
        <v>43</v>
      </c>
      <c r="C58">
        <f t="shared" si="5"/>
        <v>12.989143198536453</v>
      </c>
      <c r="D58">
        <v>-1.0112444215337746</v>
      </c>
      <c r="E58">
        <f t="shared" si="6"/>
        <v>-0.51890454405114106</v>
      </c>
      <c r="G58">
        <f t="shared" si="0"/>
        <v>13.938159351103526</v>
      </c>
      <c r="K58">
        <f t="shared" si="1"/>
        <v>-14.457063895154667</v>
      </c>
      <c r="L58">
        <f t="shared" si="2"/>
        <v>209.00669646858461</v>
      </c>
    </row>
    <row r="59" spans="1:22" x14ac:dyDescent="0.45">
      <c r="A59">
        <f t="shared" si="3"/>
        <v>44</v>
      </c>
      <c r="B59">
        <f t="shared" si="4"/>
        <v>44</v>
      </c>
      <c r="C59">
        <f t="shared" si="5"/>
        <v>13.20724201829869</v>
      </c>
      <c r="D59">
        <v>0.8203801371564623</v>
      </c>
      <c r="E59">
        <f t="shared" si="6"/>
        <v>24.165753950529837</v>
      </c>
      <c r="G59">
        <f t="shared" si="0"/>
        <v>14.168718929627049</v>
      </c>
      <c r="K59">
        <f t="shared" si="1"/>
        <v>9.9970350209027874</v>
      </c>
      <c r="L59">
        <f t="shared" si="2"/>
        <v>99.940709209156793</v>
      </c>
    </row>
    <row r="60" spans="1:22" x14ac:dyDescent="0.45">
      <c r="A60">
        <f t="shared" si="3"/>
        <v>45</v>
      </c>
      <c r="B60">
        <f t="shared" si="4"/>
        <v>45</v>
      </c>
      <c r="C60">
        <f t="shared" si="5"/>
        <v>13.425340838060926</v>
      </c>
      <c r="D60">
        <v>-1.1980364433838986</v>
      </c>
      <c r="E60">
        <f t="shared" si="6"/>
        <v>-2.5778460571945878</v>
      </c>
      <c r="G60">
        <f t="shared" si="0"/>
        <v>14.399278508150575</v>
      </c>
      <c r="K60">
        <f t="shared" si="1"/>
        <v>-16.977124565345164</v>
      </c>
      <c r="L60">
        <f t="shared" si="2"/>
        <v>288.22275850724623</v>
      </c>
    </row>
    <row r="61" spans="1:22" x14ac:dyDescent="0.45">
      <c r="A61">
        <f t="shared" si="3"/>
        <v>46</v>
      </c>
      <c r="B61">
        <f t="shared" si="4"/>
        <v>46</v>
      </c>
      <c r="C61">
        <f t="shared" si="5"/>
        <v>13.643439657823158</v>
      </c>
      <c r="D61">
        <v>0.28418526198947802</v>
      </c>
      <c r="E61">
        <f t="shared" si="6"/>
        <v>17.439542761038567</v>
      </c>
      <c r="G61">
        <f t="shared" si="0"/>
        <v>14.629838086674098</v>
      </c>
      <c r="K61">
        <f t="shared" si="1"/>
        <v>2.8097046743644682</v>
      </c>
      <c r="L61">
        <f t="shared" si="2"/>
        <v>7.8944403571455428</v>
      </c>
    </row>
    <row r="62" spans="1:22" x14ac:dyDescent="0.45">
      <c r="A62">
        <f t="shared" si="3"/>
        <v>47</v>
      </c>
      <c r="B62">
        <f t="shared" si="4"/>
        <v>47</v>
      </c>
      <c r="C62">
        <f t="shared" si="5"/>
        <v>13.861538477585395</v>
      </c>
      <c r="D62">
        <v>0.6367190508171916</v>
      </c>
      <c r="E62">
        <f t="shared" si="6"/>
        <v>22.366733813059909</v>
      </c>
      <c r="G62">
        <f t="shared" si="0"/>
        <v>14.860397665197622</v>
      </c>
      <c r="K62">
        <f t="shared" si="1"/>
        <v>7.506336147862287</v>
      </c>
      <c r="L62">
        <f t="shared" si="2"/>
        <v>56.345082364704041</v>
      </c>
    </row>
    <row r="63" spans="1:22" x14ac:dyDescent="0.45">
      <c r="A63">
        <f t="shared" si="3"/>
        <v>48</v>
      </c>
      <c r="B63">
        <f t="shared" si="4"/>
        <v>48</v>
      </c>
      <c r="C63">
        <f t="shared" si="5"/>
        <v>14.079637297347631</v>
      </c>
      <c r="D63">
        <v>-2.0157676772214472</v>
      </c>
      <c r="E63">
        <f t="shared" si="6"/>
        <v>-12.846677886248944</v>
      </c>
      <c r="G63">
        <f t="shared" si="0"/>
        <v>15.090957243721146</v>
      </c>
      <c r="K63">
        <f t="shared" si="1"/>
        <v>-27.93763512997009</v>
      </c>
      <c r="L63">
        <f t="shared" si="2"/>
        <v>780.51145665533886</v>
      </c>
    </row>
    <row r="64" spans="1:22" x14ac:dyDescent="0.45">
      <c r="A64">
        <f t="shared" si="3"/>
        <v>49</v>
      </c>
      <c r="B64">
        <f t="shared" si="4"/>
        <v>49</v>
      </c>
      <c r="C64">
        <f t="shared" si="5"/>
        <v>14.297736117109864</v>
      </c>
      <c r="D64">
        <v>-0.98804548542830162</v>
      </c>
      <c r="E64">
        <f t="shared" si="6"/>
        <v>1.0995762016557613</v>
      </c>
      <c r="G64">
        <f t="shared" si="0"/>
        <v>15.32151682224467</v>
      </c>
      <c r="K64">
        <f t="shared" si="1"/>
        <v>-14.221940620588908</v>
      </c>
      <c r="L64">
        <f t="shared" si="2"/>
        <v>202.26359501555683</v>
      </c>
    </row>
    <row r="65" spans="1:12" x14ac:dyDescent="0.45">
      <c r="A65">
        <f t="shared" si="3"/>
        <v>50</v>
      </c>
      <c r="B65">
        <f t="shared" si="4"/>
        <v>50</v>
      </c>
      <c r="C65">
        <f t="shared" si="5"/>
        <v>14.5158349368721</v>
      </c>
      <c r="D65">
        <v>-0.43218278733547777</v>
      </c>
      <c r="E65">
        <f t="shared" si="6"/>
        <v>8.7428036097892896</v>
      </c>
      <c r="G65">
        <f t="shared" si="0"/>
        <v>15.552076400768193</v>
      </c>
      <c r="K65">
        <f t="shared" si="1"/>
        <v>-6.8092727909789037</v>
      </c>
      <c r="L65">
        <f t="shared" si="2"/>
        <v>46.366195941965628</v>
      </c>
    </row>
    <row r="66" spans="1:12" x14ac:dyDescent="0.45">
      <c r="A66">
        <f t="shared" si="3"/>
        <v>51</v>
      </c>
      <c r="B66">
        <f t="shared" si="4"/>
        <v>51</v>
      </c>
      <c r="C66">
        <f t="shared" si="5"/>
        <v>14.733933756634336</v>
      </c>
      <c r="D66">
        <v>1.0403755368315615</v>
      </c>
      <c r="E66">
        <f t="shared" si="6"/>
        <v>28.6311104653333</v>
      </c>
      <c r="G66">
        <f t="shared" si="0"/>
        <v>15.782635979291717</v>
      </c>
      <c r="K66">
        <f t="shared" si="1"/>
        <v>12.848474486041583</v>
      </c>
      <c r="L66">
        <f t="shared" si="2"/>
        <v>165.08329661846153</v>
      </c>
    </row>
    <row r="67" spans="1:12" x14ac:dyDescent="0.45">
      <c r="A67">
        <f t="shared" si="3"/>
        <v>52</v>
      </c>
      <c r="B67">
        <f t="shared" si="4"/>
        <v>52</v>
      </c>
      <c r="C67">
        <f t="shared" si="5"/>
        <v>14.952032576396569</v>
      </c>
      <c r="D67">
        <v>-0.5404524472396588</v>
      </c>
      <c r="E67">
        <f t="shared" si="6"/>
        <v>7.7327517532313195</v>
      </c>
      <c r="G67">
        <f t="shared" si="0"/>
        <v>16.013195557815241</v>
      </c>
      <c r="K67">
        <f t="shared" si="1"/>
        <v>-8.2804438045839213</v>
      </c>
      <c r="L67">
        <f t="shared" si="2"/>
        <v>68.565749600872252</v>
      </c>
    </row>
    <row r="68" spans="1:12" x14ac:dyDescent="0.45">
      <c r="A68">
        <f t="shared" si="3"/>
        <v>53</v>
      </c>
      <c r="B68">
        <f t="shared" si="4"/>
        <v>53</v>
      </c>
      <c r="C68">
        <f t="shared" si="5"/>
        <v>15.170131396158805</v>
      </c>
      <c r="D68">
        <v>-0.87606849774601869</v>
      </c>
      <c r="E68">
        <f t="shared" si="6"/>
        <v>3.4677428921200022</v>
      </c>
      <c r="G68">
        <f t="shared" si="0"/>
        <v>16.243755136338763</v>
      </c>
      <c r="K68">
        <f t="shared" si="1"/>
        <v>-12.77601224421876</v>
      </c>
      <c r="L68">
        <f t="shared" si="2"/>
        <v>163.22648886442769</v>
      </c>
    </row>
    <row r="69" spans="1:12" x14ac:dyDescent="0.45">
      <c r="A69">
        <f t="shared" si="3"/>
        <v>54</v>
      </c>
      <c r="B69">
        <f t="shared" si="4"/>
        <v>54</v>
      </c>
      <c r="C69">
        <f t="shared" si="5"/>
        <v>15.388230215921041</v>
      </c>
      <c r="D69">
        <v>0.41678049456095323</v>
      </c>
      <c r="E69">
        <f t="shared" si="6"/>
        <v>20.95552008059061</v>
      </c>
      <c r="G69">
        <f t="shared" si="0"/>
        <v>16.474314714862288</v>
      </c>
      <c r="K69">
        <f t="shared" si="1"/>
        <v>4.4812053657283215</v>
      </c>
      <c r="L69">
        <f t="shared" si="2"/>
        <v>20.081201529832299</v>
      </c>
    </row>
    <row r="70" spans="1:12" x14ac:dyDescent="0.45">
      <c r="A70">
        <f t="shared" si="3"/>
        <v>55</v>
      </c>
      <c r="B70">
        <f t="shared" si="4"/>
        <v>55</v>
      </c>
      <c r="C70">
        <f t="shared" si="5"/>
        <v>15.606329035683274</v>
      </c>
      <c r="D70">
        <v>0.68216877480153926</v>
      </c>
      <c r="E70">
        <f t="shared" si="6"/>
        <v>24.71863480696798</v>
      </c>
      <c r="G70">
        <f t="shared" si="0"/>
        <v>16.704874293385814</v>
      </c>
      <c r="K70">
        <f t="shared" si="1"/>
        <v>8.0137605135821666</v>
      </c>
      <c r="L70">
        <f t="shared" si="2"/>
        <v>64.220357569048716</v>
      </c>
    </row>
    <row r="71" spans="1:12" x14ac:dyDescent="0.45">
      <c r="A71">
        <f t="shared" si="3"/>
        <v>56</v>
      </c>
      <c r="B71">
        <f t="shared" si="4"/>
        <v>56</v>
      </c>
      <c r="C71">
        <f t="shared" si="5"/>
        <v>15.82442785544551</v>
      </c>
      <c r="D71">
        <v>5.4915290093049407E-2</v>
      </c>
      <c r="E71">
        <f t="shared" si="6"/>
        <v>16.557977870238034</v>
      </c>
      <c r="G71">
        <f t="shared" si="0"/>
        <v>16.935433871909336</v>
      </c>
      <c r="K71">
        <f t="shared" si="1"/>
        <v>-0.37745600167130178</v>
      </c>
      <c r="L71">
        <f t="shared" si="2"/>
        <v>0.14247303319768578</v>
      </c>
    </row>
    <row r="72" spans="1:12" x14ac:dyDescent="0.45">
      <c r="A72">
        <f t="shared" si="3"/>
        <v>57</v>
      </c>
      <c r="B72">
        <f t="shared" si="4"/>
        <v>57</v>
      </c>
      <c r="C72">
        <f t="shared" si="5"/>
        <v>16.042526675207746</v>
      </c>
      <c r="D72">
        <v>1.4381384971784428</v>
      </c>
      <c r="E72">
        <f t="shared" si="6"/>
        <v>35.25295994600404</v>
      </c>
      <c r="G72">
        <f t="shared" si="0"/>
        <v>17.165993450432858</v>
      </c>
      <c r="K72">
        <f t="shared" si="1"/>
        <v>18.086966495571183</v>
      </c>
      <c r="L72">
        <f t="shared" si="2"/>
        <v>327.13835701191448</v>
      </c>
    </row>
    <row r="73" spans="1:12" x14ac:dyDescent="0.45">
      <c r="A73">
        <f t="shared" si="3"/>
        <v>58</v>
      </c>
      <c r="B73">
        <f t="shared" si="4"/>
        <v>58</v>
      </c>
      <c r="C73">
        <f t="shared" si="5"/>
        <v>16.260625494969979</v>
      </c>
      <c r="D73">
        <v>0.1762043666531099</v>
      </c>
      <c r="E73">
        <f t="shared" si="6"/>
        <v>18.614336374870366</v>
      </c>
      <c r="G73">
        <f t="shared" si="0"/>
        <v>17.396553028956383</v>
      </c>
      <c r="K73">
        <f t="shared" si="1"/>
        <v>1.2177833459139826</v>
      </c>
      <c r="L73">
        <f t="shared" si="2"/>
        <v>1.4829962775854546</v>
      </c>
    </row>
    <row r="74" spans="1:12" x14ac:dyDescent="0.45">
      <c r="A74">
        <f t="shared" si="3"/>
        <v>59</v>
      </c>
      <c r="B74">
        <f t="shared" si="4"/>
        <v>59</v>
      </c>
      <c r="C74">
        <f t="shared" si="5"/>
        <v>16.478724314732215</v>
      </c>
      <c r="D74">
        <v>0.27877263164555188</v>
      </c>
      <c r="E74">
        <f t="shared" si="6"/>
        <v>20.202526332728446</v>
      </c>
      <c r="G74">
        <f t="shared" si="0"/>
        <v>17.627112607479908</v>
      </c>
      <c r="K74">
        <f t="shared" si="1"/>
        <v>2.5754137252485378</v>
      </c>
      <c r="L74">
        <f t="shared" si="2"/>
        <v>6.6327558561985516</v>
      </c>
    </row>
    <row r="75" spans="1:12" x14ac:dyDescent="0.45">
      <c r="A75">
        <f t="shared" si="3"/>
        <v>60</v>
      </c>
      <c r="B75">
        <f t="shared" si="4"/>
        <v>60</v>
      </c>
      <c r="C75">
        <f t="shared" si="5"/>
        <v>16.696823134494451</v>
      </c>
      <c r="D75">
        <v>-0.11373003871995024</v>
      </c>
      <c r="E75">
        <f t="shared" si="6"/>
        <v>15.177634736436016</v>
      </c>
      <c r="G75">
        <f t="shared" si="0"/>
        <v>17.857672186003434</v>
      </c>
      <c r="K75">
        <f t="shared" si="1"/>
        <v>-2.6800374495674184</v>
      </c>
      <c r="L75">
        <f t="shared" si="2"/>
        <v>7.1826007310838325</v>
      </c>
    </row>
    <row r="76" spans="1:12" x14ac:dyDescent="0.45">
      <c r="A76">
        <f t="shared" si="3"/>
        <v>61</v>
      </c>
      <c r="B76">
        <f t="shared" si="4"/>
        <v>61</v>
      </c>
      <c r="C76">
        <f t="shared" si="5"/>
        <v>16.914921954256684</v>
      </c>
      <c r="D76">
        <v>1.0624444257700816</v>
      </c>
      <c r="E76">
        <f t="shared" si="6"/>
        <v>31.106891493511142</v>
      </c>
      <c r="G76">
        <f t="shared" si="0"/>
        <v>18.088231764526956</v>
      </c>
      <c r="K76">
        <f t="shared" si="1"/>
        <v>13.018659728984186</v>
      </c>
      <c r="L76">
        <f t="shared" si="2"/>
        <v>169.48550113907461</v>
      </c>
    </row>
    <row r="77" spans="1:12" x14ac:dyDescent="0.45">
      <c r="A77">
        <f t="shared" si="3"/>
        <v>62</v>
      </c>
      <c r="B77">
        <f t="shared" si="4"/>
        <v>62</v>
      </c>
      <c r="C77">
        <f t="shared" si="5"/>
        <v>17.13302077401892</v>
      </c>
      <c r="D77">
        <v>1.0590883903205395</v>
      </c>
      <c r="E77">
        <f t="shared" si="6"/>
        <v>31.280160906937102</v>
      </c>
      <c r="G77">
        <f t="shared" si="0"/>
        <v>18.318791343050478</v>
      </c>
      <c r="K77">
        <f t="shared" si="1"/>
        <v>12.961369563886624</v>
      </c>
      <c r="L77">
        <f t="shared" si="2"/>
        <v>167.99710097164655</v>
      </c>
    </row>
    <row r="78" spans="1:12" x14ac:dyDescent="0.45">
      <c r="A78">
        <f t="shared" si="3"/>
        <v>63</v>
      </c>
      <c r="B78">
        <f t="shared" si="4"/>
        <v>63</v>
      </c>
      <c r="C78">
        <f t="shared" si="5"/>
        <v>17.351119593781156</v>
      </c>
      <c r="D78">
        <v>0.56765543376968708</v>
      </c>
      <c r="E78">
        <f t="shared" si="6"/>
        <v>24.933773734972977</v>
      </c>
      <c r="G78">
        <f t="shared" si="0"/>
        <v>18.549350921574003</v>
      </c>
      <c r="K78">
        <f t="shared" si="1"/>
        <v>6.3844228133989738</v>
      </c>
      <c r="L78">
        <f t="shared" si="2"/>
        <v>40.760854660249265</v>
      </c>
    </row>
    <row r="79" spans="1:12" x14ac:dyDescent="0.45">
      <c r="A79">
        <f t="shared" si="3"/>
        <v>64</v>
      </c>
      <c r="B79">
        <f t="shared" si="4"/>
        <v>64</v>
      </c>
      <c r="C79">
        <f t="shared" si="5"/>
        <v>17.569218413543389</v>
      </c>
      <c r="D79">
        <v>0.42572537495288998</v>
      </c>
      <c r="E79">
        <f t="shared" si="6"/>
        <v>23.255992617323336</v>
      </c>
      <c r="G79">
        <f t="shared" si="0"/>
        <v>18.779910500097529</v>
      </c>
      <c r="K79">
        <f t="shared" si="1"/>
        <v>4.4760821172258076</v>
      </c>
      <c r="L79">
        <f t="shared" si="2"/>
        <v>20.03531112014867</v>
      </c>
    </row>
    <row r="80" spans="1:12" x14ac:dyDescent="0.45">
      <c r="A80">
        <f t="shared" si="3"/>
        <v>65</v>
      </c>
      <c r="B80">
        <f t="shared" si="4"/>
        <v>65</v>
      </c>
      <c r="C80">
        <f t="shared" si="5"/>
        <v>17.787317233305625</v>
      </c>
      <c r="D80">
        <v>-0.18942728274851106</v>
      </c>
      <c r="E80">
        <f t="shared" si="6"/>
        <v>15.256976670106715</v>
      </c>
      <c r="G80">
        <f t="shared" si="0"/>
        <v>19.010470078621051</v>
      </c>
      <c r="K80">
        <f t="shared" si="1"/>
        <v>-3.7534934085143359</v>
      </c>
      <c r="L80">
        <f t="shared" si="2"/>
        <v>14.088712767760567</v>
      </c>
    </row>
    <row r="81" spans="1:12" x14ac:dyDescent="0.45">
      <c r="A81">
        <f t="shared" si="3"/>
        <v>66</v>
      </c>
      <c r="B81">
        <f t="shared" si="4"/>
        <v>66</v>
      </c>
      <c r="C81">
        <f t="shared" ref="C81:C137" si="7">$B$12+$C$12*B81</f>
        <v>18.005416053067862</v>
      </c>
      <c r="D81">
        <v>-0.75689968070946634</v>
      </c>
      <c r="E81">
        <f t="shared" ref="E81:E137" si="8">C81+$D$12*D81</f>
        <v>7.8948663129115957</v>
      </c>
      <c r="G81">
        <f t="shared" ref="G81:G137" si="9">$G$6+$H$6*B81</f>
        <v>19.241029657144573</v>
      </c>
      <c r="K81">
        <f t="shared" ref="K81:K137" si="10">E81-G81</f>
        <v>-11.346163344232977</v>
      </c>
      <c r="L81">
        <f t="shared" ref="L81:L137" si="11">K81^2</f>
        <v>128.73542263401606</v>
      </c>
    </row>
    <row r="82" spans="1:12" x14ac:dyDescent="0.45">
      <c r="A82">
        <f t="shared" ref="A82:A118" si="12">A81+1</f>
        <v>67</v>
      </c>
      <c r="B82">
        <f t="shared" ref="B82:B137" si="13">B81+1</f>
        <v>67</v>
      </c>
      <c r="C82">
        <f t="shared" si="7"/>
        <v>18.223514872830094</v>
      </c>
      <c r="D82">
        <v>-0.36680148696177639</v>
      </c>
      <c r="E82">
        <f t="shared" si="8"/>
        <v>13.323836919188782</v>
      </c>
      <c r="G82">
        <f t="shared" si="9"/>
        <v>19.471589235668098</v>
      </c>
      <c r="K82">
        <f t="shared" si="10"/>
        <v>-6.1477523164793162</v>
      </c>
      <c r="L82">
        <f t="shared" si="11"/>
        <v>37.794858544776801</v>
      </c>
    </row>
    <row r="83" spans="1:12" x14ac:dyDescent="0.45">
      <c r="A83">
        <f t="shared" si="12"/>
        <v>68</v>
      </c>
      <c r="B83">
        <f t="shared" si="13"/>
        <v>68</v>
      </c>
      <c r="C83">
        <f t="shared" si="7"/>
        <v>18.44161369259233</v>
      </c>
      <c r="D83">
        <v>0.1325383891526144</v>
      </c>
      <c r="E83">
        <f t="shared" si="8"/>
        <v>20.212041148383616</v>
      </c>
      <c r="G83">
        <f t="shared" si="9"/>
        <v>19.702148814191624</v>
      </c>
      <c r="K83">
        <f t="shared" si="10"/>
        <v>0.50989233419199209</v>
      </c>
      <c r="L83">
        <f t="shared" si="11"/>
        <v>0.25999019246775817</v>
      </c>
    </row>
    <row r="84" spans="1:12" x14ac:dyDescent="0.45">
      <c r="A84">
        <f t="shared" si="12"/>
        <v>69</v>
      </c>
      <c r="B84">
        <f t="shared" si="13"/>
        <v>69</v>
      </c>
      <c r="C84">
        <f t="shared" si="7"/>
        <v>18.659712512354567</v>
      </c>
      <c r="D84">
        <v>-1.1460429050202947</v>
      </c>
      <c r="E84">
        <f t="shared" si="8"/>
        <v>3.3510473208196849</v>
      </c>
      <c r="G84">
        <f t="shared" si="9"/>
        <v>19.932708392715146</v>
      </c>
      <c r="K84">
        <f t="shared" si="10"/>
        <v>-16.581661071895461</v>
      </c>
      <c r="L84">
        <f t="shared" si="11"/>
        <v>274.95148390321333</v>
      </c>
    </row>
    <row r="85" spans="1:12" x14ac:dyDescent="0.45">
      <c r="A85">
        <f t="shared" si="12"/>
        <v>70</v>
      </c>
      <c r="B85">
        <f t="shared" si="13"/>
        <v>70</v>
      </c>
      <c r="C85">
        <f t="shared" si="7"/>
        <v>18.877811332116799</v>
      </c>
      <c r="D85">
        <v>0.27305077310302295</v>
      </c>
      <c r="E85">
        <f t="shared" si="8"/>
        <v>22.525181642087798</v>
      </c>
      <c r="G85">
        <f t="shared" si="9"/>
        <v>20.163267971238671</v>
      </c>
      <c r="K85">
        <f t="shared" si="10"/>
        <v>2.3619136708491268</v>
      </c>
      <c r="L85">
        <f t="shared" si="11"/>
        <v>5.5786361885439977</v>
      </c>
    </row>
    <row r="86" spans="1:12" x14ac:dyDescent="0.45">
      <c r="A86">
        <f t="shared" si="12"/>
        <v>71</v>
      </c>
      <c r="B86">
        <f t="shared" si="13"/>
        <v>71</v>
      </c>
      <c r="C86">
        <f t="shared" si="7"/>
        <v>19.095910151879036</v>
      </c>
      <c r="D86">
        <v>-2.3470784071832895</v>
      </c>
      <c r="E86">
        <f t="shared" si="8"/>
        <v>-12.256002901684766</v>
      </c>
      <c r="G86">
        <f t="shared" si="9"/>
        <v>20.393827549762193</v>
      </c>
      <c r="K86">
        <f t="shared" si="10"/>
        <v>-32.64983045144696</v>
      </c>
      <c r="L86">
        <f t="shared" si="11"/>
        <v>1066.0114285082332</v>
      </c>
    </row>
    <row r="87" spans="1:12" x14ac:dyDescent="0.45">
      <c r="A87">
        <f t="shared" si="12"/>
        <v>72</v>
      </c>
      <c r="B87">
        <f t="shared" si="13"/>
        <v>72</v>
      </c>
      <c r="C87">
        <f t="shared" si="7"/>
        <v>19.314008971641268</v>
      </c>
      <c r="D87">
        <v>-0.2249919361929642</v>
      </c>
      <c r="E87">
        <f t="shared" si="8"/>
        <v>16.30860122740653</v>
      </c>
      <c r="G87">
        <f t="shared" si="9"/>
        <v>20.624387128285719</v>
      </c>
      <c r="K87">
        <f t="shared" si="10"/>
        <v>-4.3157859008791881</v>
      </c>
      <c r="L87">
        <f t="shared" si="11"/>
        <v>18.626007942227584</v>
      </c>
    </row>
    <row r="88" spans="1:12" x14ac:dyDescent="0.45">
      <c r="A88">
        <f t="shared" si="12"/>
        <v>73</v>
      </c>
      <c r="B88">
        <f t="shared" si="13"/>
        <v>73</v>
      </c>
      <c r="C88">
        <f t="shared" si="7"/>
        <v>19.532107791403504</v>
      </c>
      <c r="D88">
        <v>-0.14829879546596203</v>
      </c>
      <c r="E88">
        <f t="shared" si="8"/>
        <v>17.551155247522853</v>
      </c>
      <c r="G88">
        <f t="shared" si="9"/>
        <v>20.85494670680924</v>
      </c>
      <c r="K88">
        <f t="shared" si="10"/>
        <v>-3.3037914592863871</v>
      </c>
      <c r="L88">
        <f t="shared" si="11"/>
        <v>10.915038006453676</v>
      </c>
    </row>
    <row r="89" spans="1:12" x14ac:dyDescent="0.45">
      <c r="A89">
        <f t="shared" si="12"/>
        <v>74</v>
      </c>
      <c r="B89">
        <f t="shared" si="13"/>
        <v>74</v>
      </c>
      <c r="C89">
        <f t="shared" si="7"/>
        <v>19.750206611165741</v>
      </c>
      <c r="D89">
        <v>2.0245897758286446</v>
      </c>
      <c r="E89">
        <f t="shared" si="8"/>
        <v>46.794366033640877</v>
      </c>
      <c r="G89">
        <f t="shared" si="9"/>
        <v>21.085506285332766</v>
      </c>
      <c r="K89">
        <f t="shared" si="10"/>
        <v>25.708859748308111</v>
      </c>
      <c r="L89">
        <f t="shared" si="11"/>
        <v>660.94546955817702</v>
      </c>
    </row>
    <row r="90" spans="1:12" x14ac:dyDescent="0.45">
      <c r="A90">
        <f t="shared" si="12"/>
        <v>75</v>
      </c>
      <c r="B90">
        <f t="shared" si="13"/>
        <v>75</v>
      </c>
      <c r="C90">
        <f t="shared" si="7"/>
        <v>19.968305430927973</v>
      </c>
      <c r="D90">
        <v>2.2702261048834771</v>
      </c>
      <c r="E90">
        <f t="shared" si="8"/>
        <v>50.293637228281632</v>
      </c>
      <c r="G90">
        <f t="shared" si="9"/>
        <v>21.316065863856288</v>
      </c>
      <c r="K90">
        <f t="shared" si="10"/>
        <v>28.977571364425344</v>
      </c>
      <c r="L90">
        <f t="shared" si="11"/>
        <v>839.69964218036375</v>
      </c>
    </row>
    <row r="91" spans="1:12" x14ac:dyDescent="0.45">
      <c r="A91">
        <f t="shared" si="12"/>
        <v>76</v>
      </c>
      <c r="B91">
        <f t="shared" si="13"/>
        <v>76</v>
      </c>
      <c r="C91">
        <f t="shared" si="7"/>
        <v>20.186404250690209</v>
      </c>
      <c r="D91">
        <v>-1.4334182196762413</v>
      </c>
      <c r="E91">
        <f t="shared" si="8"/>
        <v>1.0390237221392447</v>
      </c>
      <c r="G91">
        <f t="shared" si="9"/>
        <v>21.546625442379813</v>
      </c>
      <c r="K91">
        <f t="shared" si="10"/>
        <v>-20.507601720240569</v>
      </c>
      <c r="L91">
        <f t="shared" si="11"/>
        <v>420.56172831601396</v>
      </c>
    </row>
    <row r="92" spans="1:12" x14ac:dyDescent="0.45">
      <c r="A92">
        <f t="shared" si="12"/>
        <v>77</v>
      </c>
      <c r="B92">
        <f t="shared" si="13"/>
        <v>77</v>
      </c>
      <c r="C92">
        <f t="shared" si="7"/>
        <v>20.404503070452446</v>
      </c>
      <c r="D92">
        <v>-2.3047687136568129</v>
      </c>
      <c r="E92">
        <f t="shared" si="8"/>
        <v>-10.382243592118506</v>
      </c>
      <c r="G92">
        <f t="shared" si="9"/>
        <v>21.777185020903339</v>
      </c>
      <c r="K92">
        <f t="shared" si="10"/>
        <v>-32.159428613021845</v>
      </c>
      <c r="L92">
        <f t="shared" si="11"/>
        <v>1034.2288487160481</v>
      </c>
    </row>
    <row r="93" spans="1:12" x14ac:dyDescent="0.45">
      <c r="A93">
        <f t="shared" si="12"/>
        <v>78</v>
      </c>
      <c r="B93">
        <f t="shared" si="13"/>
        <v>78</v>
      </c>
      <c r="C93">
        <f t="shared" si="7"/>
        <v>20.622601890214678</v>
      </c>
      <c r="D93">
        <v>-7.5460775406099856E-2</v>
      </c>
      <c r="E93">
        <f t="shared" si="8"/>
        <v>19.614608436631773</v>
      </c>
      <c r="G93">
        <f t="shared" si="9"/>
        <v>22.007744599426861</v>
      </c>
      <c r="K93">
        <f t="shared" si="10"/>
        <v>-2.3931361627950878</v>
      </c>
      <c r="L93">
        <f t="shared" si="11"/>
        <v>5.7271006936775972</v>
      </c>
    </row>
    <row r="94" spans="1:12" x14ac:dyDescent="0.45">
      <c r="A94">
        <f t="shared" si="12"/>
        <v>79</v>
      </c>
      <c r="B94">
        <f t="shared" si="13"/>
        <v>79</v>
      </c>
      <c r="C94">
        <f t="shared" si="7"/>
        <v>20.840700709976915</v>
      </c>
      <c r="D94">
        <v>-0.71764588938094676</v>
      </c>
      <c r="E94">
        <f t="shared" si="8"/>
        <v>11.254497088377214</v>
      </c>
      <c r="G94">
        <f t="shared" si="9"/>
        <v>22.238304177950386</v>
      </c>
      <c r="K94">
        <f t="shared" si="10"/>
        <v>-10.983807089573173</v>
      </c>
      <c r="L94">
        <f t="shared" si="11"/>
        <v>120.64401818095789</v>
      </c>
    </row>
    <row r="95" spans="1:12" x14ac:dyDescent="0.45">
      <c r="A95">
        <f t="shared" si="12"/>
        <v>80</v>
      </c>
      <c r="B95">
        <f t="shared" si="13"/>
        <v>80</v>
      </c>
      <c r="C95">
        <f t="shared" si="7"/>
        <v>21.058799529739147</v>
      </c>
      <c r="D95">
        <v>-0.84932025856687687</v>
      </c>
      <c r="E95">
        <f t="shared" si="8"/>
        <v>9.7137098984238968</v>
      </c>
      <c r="G95">
        <f t="shared" si="9"/>
        <v>22.468863756473908</v>
      </c>
      <c r="K95">
        <f t="shared" si="10"/>
        <v>-12.755153858050011</v>
      </c>
      <c r="L95">
        <f t="shared" si="11"/>
        <v>162.69394994252809</v>
      </c>
    </row>
    <row r="96" spans="1:12" x14ac:dyDescent="0.45">
      <c r="A96">
        <f t="shared" si="12"/>
        <v>81</v>
      </c>
      <c r="B96">
        <f t="shared" si="13"/>
        <v>81</v>
      </c>
      <c r="C96">
        <f t="shared" si="7"/>
        <v>21.276898349501383</v>
      </c>
      <c r="D96">
        <v>1.607922968105413</v>
      </c>
      <c r="E96">
        <f t="shared" si="8"/>
        <v>42.755286518632701</v>
      </c>
      <c r="G96">
        <f t="shared" si="9"/>
        <v>22.699423334997434</v>
      </c>
      <c r="K96">
        <f t="shared" si="10"/>
        <v>20.055863183635267</v>
      </c>
      <c r="L96">
        <f t="shared" si="11"/>
        <v>402.23764804069657</v>
      </c>
    </row>
    <row r="97" spans="1:12" x14ac:dyDescent="0.45">
      <c r="A97">
        <f t="shared" si="12"/>
        <v>82</v>
      </c>
      <c r="B97">
        <f t="shared" si="13"/>
        <v>82</v>
      </c>
      <c r="C97">
        <f t="shared" si="7"/>
        <v>21.49499716926362</v>
      </c>
      <c r="D97">
        <v>-1.5711248124716803</v>
      </c>
      <c r="E97">
        <f t="shared" si="8"/>
        <v>0.5081531140525648</v>
      </c>
      <c r="G97">
        <f t="shared" si="9"/>
        <v>22.929982913520956</v>
      </c>
      <c r="K97">
        <f t="shared" si="10"/>
        <v>-22.421829799468391</v>
      </c>
      <c r="L97">
        <f t="shared" si="11"/>
        <v>502.73845155632876</v>
      </c>
    </row>
    <row r="98" spans="1:12" x14ac:dyDescent="0.45">
      <c r="A98">
        <f t="shared" si="12"/>
        <v>83</v>
      </c>
      <c r="B98">
        <f t="shared" si="13"/>
        <v>83</v>
      </c>
      <c r="C98">
        <f t="shared" si="7"/>
        <v>21.713095989025852</v>
      </c>
      <c r="D98">
        <v>-0.27495730137161445</v>
      </c>
      <c r="E98">
        <f t="shared" si="8"/>
        <v>18.040258567121949</v>
      </c>
      <c r="G98">
        <f t="shared" si="9"/>
        <v>23.160542492044481</v>
      </c>
      <c r="K98">
        <f t="shared" si="10"/>
        <v>-5.120283924922532</v>
      </c>
      <c r="L98">
        <f t="shared" si="11"/>
        <v>26.217307471820089</v>
      </c>
    </row>
    <row r="99" spans="1:12" x14ac:dyDescent="0.45">
      <c r="A99">
        <f t="shared" si="12"/>
        <v>84</v>
      </c>
      <c r="B99">
        <f t="shared" si="13"/>
        <v>84</v>
      </c>
      <c r="C99">
        <f t="shared" si="7"/>
        <v>21.931194808788089</v>
      </c>
      <c r="D99">
        <v>0.41978637455031276</v>
      </c>
      <c r="E99">
        <f t="shared" si="8"/>
        <v>27.538636756910613</v>
      </c>
      <c r="G99">
        <f t="shared" si="9"/>
        <v>23.391102070568003</v>
      </c>
      <c r="K99">
        <f t="shared" si="10"/>
        <v>4.1475346863426097</v>
      </c>
      <c r="L99">
        <f t="shared" si="11"/>
        <v>17.202043974415091</v>
      </c>
    </row>
    <row r="100" spans="1:12" x14ac:dyDescent="0.45">
      <c r="A100">
        <f t="shared" si="12"/>
        <v>85</v>
      </c>
      <c r="B100">
        <f t="shared" si="13"/>
        <v>85</v>
      </c>
      <c r="C100">
        <f t="shared" si="7"/>
        <v>22.149293628550325</v>
      </c>
      <c r="D100">
        <v>0.50241624194313772</v>
      </c>
      <c r="E100">
        <f t="shared" si="8"/>
        <v>28.86049266045784</v>
      </c>
      <c r="G100">
        <f t="shared" si="9"/>
        <v>23.621661649091529</v>
      </c>
      <c r="K100">
        <f t="shared" si="10"/>
        <v>5.2388310113663117</v>
      </c>
      <c r="L100">
        <f t="shared" si="11"/>
        <v>27.445350365653372</v>
      </c>
    </row>
    <row r="101" spans="1:12" x14ac:dyDescent="0.45">
      <c r="A101">
        <f t="shared" si="12"/>
        <v>86</v>
      </c>
      <c r="B101">
        <f t="shared" si="13"/>
        <v>86</v>
      </c>
      <c r="C101">
        <f t="shared" si="7"/>
        <v>22.367392448312557</v>
      </c>
      <c r="D101">
        <v>0.25973577066906728</v>
      </c>
      <c r="E101">
        <f t="shared" si="8"/>
        <v>25.836902999811173</v>
      </c>
      <c r="G101">
        <f t="shared" si="9"/>
        <v>23.85222122761505</v>
      </c>
      <c r="K101">
        <f t="shared" si="10"/>
        <v>1.9846817721961223</v>
      </c>
      <c r="L101">
        <f t="shared" si="11"/>
        <v>3.9389617368875407</v>
      </c>
    </row>
    <row r="102" spans="1:12" x14ac:dyDescent="0.45">
      <c r="A102">
        <f t="shared" si="12"/>
        <v>87</v>
      </c>
      <c r="B102">
        <f t="shared" si="13"/>
        <v>87</v>
      </c>
      <c r="C102">
        <f t="shared" si="7"/>
        <v>22.585491268074794</v>
      </c>
      <c r="D102">
        <v>0.82112819654867053</v>
      </c>
      <c r="E102">
        <f t="shared" si="8"/>
        <v>33.553995662829408</v>
      </c>
      <c r="G102">
        <f t="shared" si="9"/>
        <v>24.082780806138576</v>
      </c>
      <c r="K102">
        <f t="shared" si="10"/>
        <v>9.4712148566908319</v>
      </c>
      <c r="L102">
        <f t="shared" si="11"/>
        <v>89.70391086160113</v>
      </c>
    </row>
    <row r="103" spans="1:12" x14ac:dyDescent="0.45">
      <c r="A103">
        <f t="shared" si="12"/>
        <v>88</v>
      </c>
      <c r="B103">
        <f t="shared" si="13"/>
        <v>88</v>
      </c>
      <c r="C103">
        <f t="shared" si="7"/>
        <v>22.80359008783703</v>
      </c>
      <c r="D103">
        <v>-0.86333784565795213</v>
      </c>
      <c r="E103">
        <f t="shared" si="8"/>
        <v>11.271255680056232</v>
      </c>
      <c r="G103">
        <f t="shared" si="9"/>
        <v>24.313340384662098</v>
      </c>
      <c r="K103">
        <f t="shared" si="10"/>
        <v>-13.042084704605866</v>
      </c>
      <c r="L103">
        <f t="shared" si="11"/>
        <v>170.09597344211429</v>
      </c>
    </row>
    <row r="104" spans="1:12" x14ac:dyDescent="0.45">
      <c r="A104">
        <f t="shared" si="12"/>
        <v>89</v>
      </c>
      <c r="B104">
        <f t="shared" si="13"/>
        <v>89</v>
      </c>
      <c r="C104">
        <f t="shared" si="7"/>
        <v>23.021688907599263</v>
      </c>
      <c r="D104">
        <v>-0.40048007576842792</v>
      </c>
      <c r="E104">
        <f t="shared" si="8"/>
        <v>17.672137534816393</v>
      </c>
      <c r="G104">
        <f t="shared" si="9"/>
        <v>24.543899963185623</v>
      </c>
      <c r="K104">
        <f t="shared" si="10"/>
        <v>-6.8717624283692302</v>
      </c>
      <c r="L104">
        <f t="shared" si="11"/>
        <v>47.221118871946977</v>
      </c>
    </row>
    <row r="105" spans="1:12" x14ac:dyDescent="0.45">
      <c r="A105">
        <f t="shared" si="12"/>
        <v>90</v>
      </c>
      <c r="B105">
        <f t="shared" si="13"/>
        <v>90</v>
      </c>
      <c r="C105">
        <f t="shared" si="7"/>
        <v>23.239787727361499</v>
      </c>
      <c r="D105">
        <v>4.848061507800594E-2</v>
      </c>
      <c r="E105">
        <f t="shared" si="8"/>
        <v>23.887384341116309</v>
      </c>
      <c r="G105">
        <f t="shared" si="9"/>
        <v>24.774459541709149</v>
      </c>
      <c r="K105">
        <f t="shared" si="10"/>
        <v>-0.88707520059283951</v>
      </c>
      <c r="L105">
        <f t="shared" si="11"/>
        <v>0.78690241150682649</v>
      </c>
    </row>
    <row r="106" spans="1:12" x14ac:dyDescent="0.45">
      <c r="A106">
        <f t="shared" si="12"/>
        <v>91</v>
      </c>
      <c r="B106">
        <f t="shared" si="13"/>
        <v>91</v>
      </c>
      <c r="C106">
        <f t="shared" si="7"/>
        <v>23.457886547123735</v>
      </c>
      <c r="D106">
        <v>0.22773974706069566</v>
      </c>
      <c r="E106">
        <f t="shared" si="8"/>
        <v>26.499999127101962</v>
      </c>
      <c r="G106">
        <f t="shared" si="9"/>
        <v>25.005019120232671</v>
      </c>
      <c r="K106">
        <f t="shared" si="10"/>
        <v>1.4949800068692909</v>
      </c>
      <c r="L106">
        <f t="shared" si="11"/>
        <v>2.2349652209389048</v>
      </c>
    </row>
    <row r="107" spans="1:12" x14ac:dyDescent="0.45">
      <c r="A107">
        <f t="shared" si="12"/>
        <v>92</v>
      </c>
      <c r="B107">
        <f t="shared" si="13"/>
        <v>92</v>
      </c>
      <c r="C107">
        <f t="shared" si="7"/>
        <v>23.675985366885968</v>
      </c>
      <c r="D107">
        <v>0.43705881580535788</v>
      </c>
      <c r="E107">
        <f t="shared" si="8"/>
        <v>29.514149933730394</v>
      </c>
      <c r="G107">
        <f t="shared" si="9"/>
        <v>25.235578698756196</v>
      </c>
      <c r="K107">
        <f t="shared" si="10"/>
        <v>4.2785712349741978</v>
      </c>
      <c r="L107">
        <f t="shared" si="11"/>
        <v>18.306171812748634</v>
      </c>
    </row>
    <row r="108" spans="1:12" x14ac:dyDescent="0.45">
      <c r="A108">
        <f t="shared" si="12"/>
        <v>93</v>
      </c>
      <c r="B108">
        <f t="shared" si="13"/>
        <v>93</v>
      </c>
      <c r="C108">
        <f t="shared" si="7"/>
        <v>23.894084186648204</v>
      </c>
      <c r="D108">
        <v>0.93888729679747485</v>
      </c>
      <c r="E108">
        <f t="shared" si="8"/>
        <v>36.435596564845994</v>
      </c>
      <c r="G108">
        <f t="shared" si="9"/>
        <v>25.466138277279718</v>
      </c>
      <c r="K108">
        <f t="shared" si="10"/>
        <v>10.969458287566276</v>
      </c>
      <c r="L108">
        <f t="shared" si="11"/>
        <v>120.32901512265646</v>
      </c>
    </row>
    <row r="109" spans="1:12" x14ac:dyDescent="0.45">
      <c r="A109">
        <f t="shared" si="12"/>
        <v>94</v>
      </c>
      <c r="B109">
        <f t="shared" si="13"/>
        <v>94</v>
      </c>
      <c r="C109">
        <f t="shared" si="7"/>
        <v>24.11218300641044</v>
      </c>
      <c r="D109">
        <v>1.1362135410308838</v>
      </c>
      <c r="E109">
        <f t="shared" si="8"/>
        <v>39.289549062720575</v>
      </c>
      <c r="G109">
        <f t="shared" si="9"/>
        <v>25.696697855803244</v>
      </c>
      <c r="K109">
        <f t="shared" si="10"/>
        <v>13.592851206917331</v>
      </c>
      <c r="L109">
        <f t="shared" si="11"/>
        <v>184.76560393339395</v>
      </c>
    </row>
    <row r="110" spans="1:12" x14ac:dyDescent="0.45">
      <c r="A110">
        <f t="shared" si="12"/>
        <v>95</v>
      </c>
      <c r="B110">
        <f t="shared" si="13"/>
        <v>95</v>
      </c>
      <c r="C110">
        <f t="shared" si="7"/>
        <v>24.330281826172673</v>
      </c>
      <c r="D110">
        <v>0.21691789697797503</v>
      </c>
      <c r="E110">
        <f t="shared" si="8"/>
        <v>27.227837794052313</v>
      </c>
      <c r="G110">
        <f t="shared" si="9"/>
        <v>25.927257434326766</v>
      </c>
      <c r="K110">
        <f t="shared" si="10"/>
        <v>1.3005803597255472</v>
      </c>
      <c r="L110">
        <f t="shared" si="11"/>
        <v>1.6915092721038338</v>
      </c>
    </row>
    <row r="111" spans="1:12" x14ac:dyDescent="0.45">
      <c r="A111">
        <f t="shared" si="12"/>
        <v>96</v>
      </c>
      <c r="B111">
        <f t="shared" si="13"/>
        <v>96</v>
      </c>
      <c r="C111">
        <f t="shared" si="7"/>
        <v>24.548380645934909</v>
      </c>
      <c r="D111">
        <v>-0.92342588686733507</v>
      </c>
      <c r="E111">
        <f t="shared" si="8"/>
        <v>12.21339940803975</v>
      </c>
      <c r="G111">
        <f t="shared" si="9"/>
        <v>26.157817012850291</v>
      </c>
      <c r="K111">
        <f t="shared" si="10"/>
        <v>-13.944417604810541</v>
      </c>
      <c r="L111">
        <f t="shared" si="11"/>
        <v>194.44678233735013</v>
      </c>
    </row>
    <row r="112" spans="1:12" x14ac:dyDescent="0.45">
      <c r="A112">
        <f t="shared" si="12"/>
        <v>97</v>
      </c>
      <c r="B112">
        <f t="shared" si="13"/>
        <v>97</v>
      </c>
      <c r="C112">
        <f t="shared" si="7"/>
        <v>24.766479465697145</v>
      </c>
      <c r="D112">
        <v>0.97664496934157796</v>
      </c>
      <c r="E112">
        <f t="shared" si="8"/>
        <v>37.81235303740457</v>
      </c>
      <c r="G112">
        <f t="shared" si="9"/>
        <v>26.388376591373813</v>
      </c>
      <c r="K112">
        <f t="shared" si="10"/>
        <v>11.423976446030757</v>
      </c>
      <c r="L112">
        <f t="shared" si="11"/>
        <v>130.50723783946552</v>
      </c>
    </row>
    <row r="113" spans="1:12" x14ac:dyDescent="0.45">
      <c r="A113">
        <f t="shared" si="12"/>
        <v>98</v>
      </c>
      <c r="B113">
        <f t="shared" si="13"/>
        <v>98</v>
      </c>
      <c r="C113">
        <f t="shared" si="7"/>
        <v>24.984578285459378</v>
      </c>
      <c r="D113">
        <v>-1.0023563845606986</v>
      </c>
      <c r="E113">
        <f t="shared" si="8"/>
        <v>11.595255576319282</v>
      </c>
      <c r="G113">
        <f t="shared" si="9"/>
        <v>26.618936169897339</v>
      </c>
      <c r="K113">
        <f t="shared" si="10"/>
        <v>-15.023680593578057</v>
      </c>
      <c r="L113">
        <f t="shared" si="11"/>
        <v>225.71097857785392</v>
      </c>
    </row>
    <row r="114" spans="1:12" x14ac:dyDescent="0.45">
      <c r="A114">
        <f t="shared" si="12"/>
        <v>99</v>
      </c>
      <c r="B114">
        <f t="shared" si="13"/>
        <v>99</v>
      </c>
      <c r="C114">
        <f t="shared" si="7"/>
        <v>25.202677105221614</v>
      </c>
      <c r="D114">
        <v>-2.2495805751532316</v>
      </c>
      <c r="E114">
        <f t="shared" si="8"/>
        <v>-4.8468748753750006</v>
      </c>
      <c r="G114">
        <f t="shared" si="9"/>
        <v>26.849495748420861</v>
      </c>
      <c r="K114">
        <f t="shared" si="10"/>
        <v>-31.696370623795861</v>
      </c>
      <c r="L114">
        <f t="shared" si="11"/>
        <v>1004.6599107210292</v>
      </c>
    </row>
    <row r="115" spans="1:12" x14ac:dyDescent="0.45">
      <c r="A115">
        <f t="shared" si="12"/>
        <v>100</v>
      </c>
      <c r="B115">
        <f t="shared" si="13"/>
        <v>100</v>
      </c>
      <c r="C115">
        <f t="shared" si="7"/>
        <v>25.42077592498385</v>
      </c>
      <c r="D115">
        <v>-0.36001893022330478</v>
      </c>
      <c r="E115">
        <f t="shared" si="8"/>
        <v>20.611698323037061</v>
      </c>
      <c r="G115">
        <f t="shared" si="9"/>
        <v>27.080055326944386</v>
      </c>
      <c r="K115">
        <f t="shared" si="10"/>
        <v>-6.4683570039073253</v>
      </c>
      <c r="L115">
        <f t="shared" si="11"/>
        <v>41.839642329996948</v>
      </c>
    </row>
    <row r="116" spans="1:12" x14ac:dyDescent="0.45">
      <c r="A116">
        <f t="shared" si="12"/>
        <v>101</v>
      </c>
      <c r="B116">
        <f t="shared" si="13"/>
        <v>101</v>
      </c>
      <c r="C116">
        <f t="shared" si="7"/>
        <v>25.638874744746083</v>
      </c>
      <c r="D116">
        <v>1.8194032236351632</v>
      </c>
      <c r="E116">
        <f t="shared" si="8"/>
        <v>49.942183702046201</v>
      </c>
      <c r="G116">
        <f t="shared" si="9"/>
        <v>27.310614905467908</v>
      </c>
      <c r="K116">
        <f t="shared" si="10"/>
        <v>22.631568796578293</v>
      </c>
      <c r="L116">
        <f t="shared" si="11"/>
        <v>512.18790619425624</v>
      </c>
    </row>
    <row r="117" spans="1:12" x14ac:dyDescent="0.45">
      <c r="A117">
        <f t="shared" si="12"/>
        <v>102</v>
      </c>
      <c r="B117">
        <f t="shared" si="13"/>
        <v>102</v>
      </c>
      <c r="C117">
        <f t="shared" si="7"/>
        <v>25.856973564508319</v>
      </c>
      <c r="D117">
        <v>0.18896116671385244</v>
      </c>
      <c r="E117">
        <f t="shared" si="8"/>
        <v>28.381087821271635</v>
      </c>
      <c r="G117">
        <f t="shared" si="9"/>
        <v>27.541174483991433</v>
      </c>
      <c r="K117">
        <f t="shared" si="10"/>
        <v>0.83991333728020123</v>
      </c>
      <c r="L117">
        <f t="shared" si="11"/>
        <v>0.70545441414116505</v>
      </c>
    </row>
    <row r="118" spans="1:12" x14ac:dyDescent="0.45">
      <c r="A118">
        <f t="shared" si="12"/>
        <v>103</v>
      </c>
      <c r="B118">
        <f t="shared" si="13"/>
        <v>103</v>
      </c>
      <c r="C118">
        <f t="shared" si="7"/>
        <v>26.075072384270555</v>
      </c>
      <c r="D118">
        <v>1.0437975106469821</v>
      </c>
      <c r="E118">
        <f t="shared" si="8"/>
        <v>40.017959293874739</v>
      </c>
      <c r="G118">
        <f t="shared" si="9"/>
        <v>27.771734062514959</v>
      </c>
      <c r="K118">
        <f t="shared" si="10"/>
        <v>12.24622523135978</v>
      </c>
      <c r="L118">
        <f t="shared" si="11"/>
        <v>149.9700324171929</v>
      </c>
    </row>
    <row r="119" spans="1:12" x14ac:dyDescent="0.45">
      <c r="A119">
        <f>A118+1</f>
        <v>104</v>
      </c>
      <c r="B119">
        <f t="shared" si="13"/>
        <v>104</v>
      </c>
      <c r="C119">
        <f t="shared" si="7"/>
        <v>26.293171204032788</v>
      </c>
      <c r="D119">
        <v>-1.7273259800276719</v>
      </c>
      <c r="E119">
        <f t="shared" si="8"/>
        <v>3.2198159316878758</v>
      </c>
      <c r="G119">
        <f t="shared" si="9"/>
        <v>28.002293641038481</v>
      </c>
      <c r="K119">
        <f t="shared" si="10"/>
        <v>-24.782477709350605</v>
      </c>
      <c r="L119">
        <f t="shared" si="11"/>
        <v>614.17120141445957</v>
      </c>
    </row>
    <row r="120" spans="1:12" x14ac:dyDescent="0.45">
      <c r="A120">
        <f t="shared" ref="A120:A130" si="14">A119+1</f>
        <v>105</v>
      </c>
      <c r="B120">
        <f t="shared" si="13"/>
        <v>105</v>
      </c>
      <c r="C120">
        <f t="shared" si="7"/>
        <v>26.511270023795024</v>
      </c>
      <c r="D120">
        <v>1.2964210327481851</v>
      </c>
      <c r="E120">
        <f t="shared" si="8"/>
        <v>43.828663160358609</v>
      </c>
      <c r="G120">
        <f t="shared" si="9"/>
        <v>28.232853219562006</v>
      </c>
      <c r="K120">
        <f t="shared" si="10"/>
        <v>15.595809940796602</v>
      </c>
      <c r="L120">
        <f t="shared" si="11"/>
        <v>243.22928770945012</v>
      </c>
    </row>
    <row r="121" spans="1:12" x14ac:dyDescent="0.45">
      <c r="A121">
        <f t="shared" si="14"/>
        <v>106</v>
      </c>
      <c r="B121">
        <f t="shared" si="13"/>
        <v>106</v>
      </c>
      <c r="C121">
        <f t="shared" si="7"/>
        <v>26.729368843557261</v>
      </c>
      <c r="D121">
        <v>-1.691710167506244</v>
      </c>
      <c r="E121">
        <f t="shared" si="8"/>
        <v>4.1317641273447663</v>
      </c>
      <c r="G121">
        <f t="shared" si="9"/>
        <v>28.463412798085528</v>
      </c>
      <c r="K121">
        <f t="shared" si="10"/>
        <v>-24.331648670740762</v>
      </c>
      <c r="L121">
        <f t="shared" si="11"/>
        <v>592.02912703636071</v>
      </c>
    </row>
    <row r="122" spans="1:12" x14ac:dyDescent="0.45">
      <c r="A122">
        <f t="shared" si="14"/>
        <v>107</v>
      </c>
      <c r="B122">
        <f t="shared" si="13"/>
        <v>107</v>
      </c>
      <c r="C122">
        <f t="shared" si="7"/>
        <v>26.947467663319493</v>
      </c>
      <c r="D122">
        <v>1.2101963875466026</v>
      </c>
      <c r="E122">
        <f t="shared" si="8"/>
        <v>43.113085225977727</v>
      </c>
      <c r="G122">
        <f t="shared" si="9"/>
        <v>28.693972376609054</v>
      </c>
      <c r="K122">
        <f t="shared" si="10"/>
        <v>14.419112849368673</v>
      </c>
      <c r="L122">
        <f t="shared" si="11"/>
        <v>207.91081536282877</v>
      </c>
    </row>
    <row r="123" spans="1:12" x14ac:dyDescent="0.45">
      <c r="A123">
        <f t="shared" si="14"/>
        <v>108</v>
      </c>
      <c r="B123">
        <f t="shared" si="13"/>
        <v>108</v>
      </c>
      <c r="C123">
        <f t="shared" si="7"/>
        <v>27.165566483081729</v>
      </c>
      <c r="D123">
        <v>0.59473677538335323</v>
      </c>
      <c r="E123">
        <f t="shared" si="8"/>
        <v>35.109969028181567</v>
      </c>
      <c r="G123">
        <f t="shared" si="9"/>
        <v>28.924531955132576</v>
      </c>
      <c r="K123">
        <f t="shared" si="10"/>
        <v>6.1854370730489912</v>
      </c>
      <c r="L123">
        <f t="shared" si="11"/>
        <v>38.259631784648867</v>
      </c>
    </row>
    <row r="124" spans="1:12" x14ac:dyDescent="0.45">
      <c r="A124">
        <f t="shared" si="14"/>
        <v>109</v>
      </c>
      <c r="B124">
        <f t="shared" si="13"/>
        <v>109</v>
      </c>
      <c r="C124">
        <f t="shared" si="7"/>
        <v>27.383665302843966</v>
      </c>
      <c r="D124">
        <v>-1.2074974620190915</v>
      </c>
      <c r="E124">
        <f t="shared" si="8"/>
        <v>11.25409957305915</v>
      </c>
      <c r="G124">
        <f t="shared" si="9"/>
        <v>29.155091533656101</v>
      </c>
      <c r="K124">
        <f t="shared" si="10"/>
        <v>-17.900991960596951</v>
      </c>
      <c r="L124">
        <f t="shared" si="11"/>
        <v>320.44551317335669</v>
      </c>
    </row>
    <row r="125" spans="1:12" x14ac:dyDescent="0.45">
      <c r="A125">
        <f t="shared" si="14"/>
        <v>110</v>
      </c>
      <c r="B125">
        <f t="shared" si="13"/>
        <v>110</v>
      </c>
      <c r="C125">
        <f t="shared" si="7"/>
        <v>27.601764122606198</v>
      </c>
      <c r="D125">
        <v>0.78667653724551201</v>
      </c>
      <c r="E125">
        <f t="shared" si="8"/>
        <v>38.110068541204122</v>
      </c>
      <c r="G125">
        <f t="shared" si="9"/>
        <v>29.385651112179623</v>
      </c>
      <c r="K125">
        <f t="shared" si="10"/>
        <v>8.7244174290244985</v>
      </c>
      <c r="L125">
        <f t="shared" si="11"/>
        <v>76.115459475866444</v>
      </c>
    </row>
    <row r="126" spans="1:12" x14ac:dyDescent="0.45">
      <c r="A126">
        <f t="shared" si="14"/>
        <v>111</v>
      </c>
      <c r="B126">
        <f t="shared" si="13"/>
        <v>111</v>
      </c>
      <c r="C126">
        <f t="shared" si="7"/>
        <v>27.819862942368434</v>
      </c>
      <c r="D126">
        <v>-1.1450106285337824</v>
      </c>
      <c r="E126">
        <f t="shared" si="8"/>
        <v>12.524986741671405</v>
      </c>
      <c r="G126">
        <f t="shared" si="9"/>
        <v>29.616210690703149</v>
      </c>
      <c r="K126">
        <f t="shared" si="10"/>
        <v>-17.091223949031743</v>
      </c>
      <c r="L126">
        <f t="shared" si="11"/>
        <v>292.10993607595623</v>
      </c>
    </row>
    <row r="127" spans="1:12" x14ac:dyDescent="0.45">
      <c r="A127">
        <f t="shared" si="14"/>
        <v>112</v>
      </c>
      <c r="B127">
        <f t="shared" si="13"/>
        <v>112</v>
      </c>
      <c r="C127">
        <f t="shared" si="7"/>
        <v>28.037961762130671</v>
      </c>
      <c r="D127">
        <v>1.416528903064318</v>
      </c>
      <c r="E127">
        <f t="shared" si="8"/>
        <v>46.959737392127522</v>
      </c>
      <c r="G127">
        <f t="shared" si="9"/>
        <v>29.846770269226671</v>
      </c>
      <c r="K127">
        <f t="shared" si="10"/>
        <v>17.112967122900852</v>
      </c>
      <c r="L127">
        <f t="shared" si="11"/>
        <v>292.85364374948546</v>
      </c>
    </row>
    <row r="128" spans="1:12" x14ac:dyDescent="0.45">
      <c r="A128">
        <f t="shared" si="14"/>
        <v>113</v>
      </c>
      <c r="B128">
        <f t="shared" si="13"/>
        <v>113</v>
      </c>
      <c r="C128">
        <f t="shared" si="7"/>
        <v>28.256060581892903</v>
      </c>
      <c r="D128">
        <v>1.4377064871951006</v>
      </c>
      <c r="E128">
        <f t="shared" si="8"/>
        <v>47.460723129651335</v>
      </c>
      <c r="G128">
        <f t="shared" si="9"/>
        <v>30.077329847750196</v>
      </c>
      <c r="K128">
        <f t="shared" si="10"/>
        <v>17.383393281901139</v>
      </c>
      <c r="L128">
        <f t="shared" si="11"/>
        <v>302.18236199324565</v>
      </c>
    </row>
    <row r="129" spans="1:12" x14ac:dyDescent="0.45">
      <c r="A129">
        <f t="shared" si="14"/>
        <v>114</v>
      </c>
      <c r="B129">
        <f t="shared" si="13"/>
        <v>114</v>
      </c>
      <c r="C129">
        <f t="shared" si="7"/>
        <v>28.47415940165514</v>
      </c>
      <c r="D129">
        <v>0.48797346607898362</v>
      </c>
      <c r="E129">
        <f t="shared" si="8"/>
        <v>34.992434050738787</v>
      </c>
      <c r="G129">
        <f t="shared" si="9"/>
        <v>30.307889426273718</v>
      </c>
      <c r="K129">
        <f t="shared" si="10"/>
        <v>4.6845446244650688</v>
      </c>
      <c r="L129">
        <f t="shared" si="11"/>
        <v>21.944958338604572</v>
      </c>
    </row>
    <row r="130" spans="1:12" x14ac:dyDescent="0.45">
      <c r="A130">
        <f t="shared" si="14"/>
        <v>115</v>
      </c>
      <c r="B130">
        <f t="shared" si="13"/>
        <v>115</v>
      </c>
      <c r="C130">
        <f t="shared" si="7"/>
        <v>28.692258221417372</v>
      </c>
      <c r="D130">
        <v>0.71280510383076034</v>
      </c>
      <c r="E130">
        <f t="shared" si="8"/>
        <v>38.213799372766438</v>
      </c>
      <c r="G130">
        <f t="shared" si="9"/>
        <v>30.538449004797243</v>
      </c>
      <c r="K130">
        <f t="shared" si="10"/>
        <v>7.6753503679691946</v>
      </c>
      <c r="L130">
        <f t="shared" si="11"/>
        <v>58.911003271084851</v>
      </c>
    </row>
    <row r="131" spans="1:12" x14ac:dyDescent="0.45">
      <c r="A131">
        <f>A130+1</f>
        <v>116</v>
      </c>
      <c r="B131">
        <f t="shared" si="13"/>
        <v>116</v>
      </c>
      <c r="C131">
        <f t="shared" si="7"/>
        <v>28.910357041179608</v>
      </c>
      <c r="D131">
        <v>1.3994213077239692</v>
      </c>
      <c r="E131">
        <f t="shared" si="8"/>
        <v>47.603612038876904</v>
      </c>
      <c r="G131">
        <f t="shared" si="9"/>
        <v>30.769008583320769</v>
      </c>
      <c r="K131">
        <f t="shared" si="10"/>
        <v>16.834603455556135</v>
      </c>
      <c r="L131">
        <f t="shared" si="11"/>
        <v>283.40387350582256</v>
      </c>
    </row>
    <row r="132" spans="1:12" x14ac:dyDescent="0.45">
      <c r="A132">
        <f t="shared" ref="A132:A135" si="15">A131+1</f>
        <v>117</v>
      </c>
      <c r="B132">
        <f t="shared" si="13"/>
        <v>117</v>
      </c>
      <c r="C132">
        <f t="shared" si="7"/>
        <v>29.128455860941845</v>
      </c>
      <c r="D132">
        <v>-0.25744157028384507</v>
      </c>
      <c r="E132">
        <f t="shared" si="8"/>
        <v>25.68959088599696</v>
      </c>
      <c r="G132">
        <f t="shared" si="9"/>
        <v>30.999568161844291</v>
      </c>
      <c r="K132">
        <f t="shared" si="10"/>
        <v>-5.3099772758473307</v>
      </c>
      <c r="L132">
        <f t="shared" si="11"/>
        <v>28.195858670015038</v>
      </c>
    </row>
    <row r="133" spans="1:12" x14ac:dyDescent="0.45">
      <c r="A133">
        <f t="shared" si="15"/>
        <v>118</v>
      </c>
      <c r="B133">
        <f t="shared" si="13"/>
        <v>118</v>
      </c>
      <c r="C133">
        <f t="shared" si="7"/>
        <v>29.346554680704077</v>
      </c>
      <c r="D133">
        <v>-0.45964497985551134</v>
      </c>
      <c r="E133">
        <f t="shared" si="8"/>
        <v>23.206687601771975</v>
      </c>
      <c r="G133">
        <f t="shared" si="9"/>
        <v>31.230127740367816</v>
      </c>
      <c r="K133">
        <f t="shared" si="10"/>
        <v>-8.0234401385958414</v>
      </c>
      <c r="L133">
        <f t="shared" si="11"/>
        <v>64.375591657630849</v>
      </c>
    </row>
    <row r="134" spans="1:12" x14ac:dyDescent="0.45">
      <c r="A134">
        <f t="shared" si="15"/>
        <v>119</v>
      </c>
      <c r="B134">
        <f t="shared" si="13"/>
        <v>119</v>
      </c>
      <c r="C134">
        <f t="shared" si="7"/>
        <v>29.564653500466314</v>
      </c>
      <c r="D134">
        <v>-0.46901732275728136</v>
      </c>
      <c r="E134">
        <f t="shared" si="8"/>
        <v>23.299592103838997</v>
      </c>
      <c r="G134">
        <f t="shared" si="9"/>
        <v>31.460687318891338</v>
      </c>
      <c r="K134">
        <f t="shared" si="10"/>
        <v>-8.1610952150523417</v>
      </c>
      <c r="L134">
        <f t="shared" si="11"/>
        <v>66.603475109150224</v>
      </c>
    </row>
    <row r="135" spans="1:12" x14ac:dyDescent="0.45">
      <c r="A135">
        <f t="shared" si="15"/>
        <v>120</v>
      </c>
      <c r="B135">
        <f t="shared" si="13"/>
        <v>120</v>
      </c>
      <c r="C135">
        <f t="shared" si="7"/>
        <v>29.78275232022855</v>
      </c>
      <c r="D135">
        <v>1.6323610907420516</v>
      </c>
      <c r="E135">
        <f t="shared" si="8"/>
        <v>51.587581179944088</v>
      </c>
      <c r="G135">
        <f t="shared" si="9"/>
        <v>31.691246897414864</v>
      </c>
      <c r="K135">
        <f t="shared" si="10"/>
        <v>19.896334282529224</v>
      </c>
      <c r="L135">
        <f t="shared" si="11"/>
        <v>395.8641178821477</v>
      </c>
    </row>
    <row r="136" spans="1:12" x14ac:dyDescent="0.45">
      <c r="A136">
        <f>A135+1</f>
        <v>121</v>
      </c>
      <c r="B136">
        <f t="shared" si="13"/>
        <v>121</v>
      </c>
      <c r="C136">
        <f t="shared" si="7"/>
        <v>30.000851139990782</v>
      </c>
      <c r="D136">
        <v>1.3819180821883492</v>
      </c>
      <c r="E136">
        <f>C136+$D$12*D136</f>
        <v>48.46030073797489</v>
      </c>
      <c r="G136">
        <f t="shared" si="9"/>
        <v>31.921806475938386</v>
      </c>
      <c r="K136">
        <f t="shared" si="10"/>
        <v>16.538494262036505</v>
      </c>
      <c r="L136">
        <f t="shared" si="11"/>
        <v>273.52179245541436</v>
      </c>
    </row>
    <row r="137" spans="1:12" x14ac:dyDescent="0.45">
      <c r="A137">
        <f t="shared" ref="A137" si="16">A136+1</f>
        <v>122</v>
      </c>
      <c r="B137">
        <f t="shared" si="13"/>
        <v>122</v>
      </c>
      <c r="C137">
        <f t="shared" si="7"/>
        <v>30.218949959753019</v>
      </c>
      <c r="D137">
        <v>0.87831494965939783</v>
      </c>
      <c r="E137">
        <f t="shared" si="8"/>
        <v>41.951346223588736</v>
      </c>
      <c r="G137">
        <f t="shared" si="9"/>
        <v>32.152366054461908</v>
      </c>
      <c r="K137">
        <f t="shared" si="10"/>
        <v>9.7989801691268283</v>
      </c>
      <c r="L137">
        <f t="shared" si="11"/>
        <v>96.020012354940846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178B-2907-4FC5-8438-F3E3D614614D}">
  <dimension ref="A1:W137"/>
  <sheetViews>
    <sheetView workbookViewId="0">
      <selection activeCell="G16" sqref="G16"/>
    </sheetView>
  </sheetViews>
  <sheetFormatPr defaultRowHeight="14.25" x14ac:dyDescent="0.45"/>
  <sheetData>
    <row r="1" spans="1:14" x14ac:dyDescent="0.45">
      <c r="A1" s="1" t="s">
        <v>53</v>
      </c>
      <c r="B1" s="1"/>
      <c r="C1" s="1"/>
      <c r="E1" s="1" t="s">
        <v>1</v>
      </c>
      <c r="F1" s="1"/>
    </row>
    <row r="3" spans="1:14" x14ac:dyDescent="0.45">
      <c r="A3" s="1">
        <v>1</v>
      </c>
      <c r="B3" s="1" t="s">
        <v>2</v>
      </c>
      <c r="C3" s="1"/>
      <c r="D3" s="1"/>
      <c r="E3" s="1"/>
      <c r="G3" s="1">
        <v>5</v>
      </c>
      <c r="H3" s="1" t="s">
        <v>22</v>
      </c>
      <c r="I3" s="1"/>
      <c r="J3" s="1"/>
      <c r="K3" s="1"/>
    </row>
    <row r="4" spans="1:14" x14ac:dyDescent="0.45">
      <c r="A4" s="3" t="s">
        <v>3</v>
      </c>
      <c r="B4" s="3"/>
      <c r="C4" s="3"/>
      <c r="D4" s="3"/>
      <c r="G4" s="3" t="s">
        <v>23</v>
      </c>
      <c r="H4" s="3"/>
      <c r="I4" s="3"/>
      <c r="J4" s="3"/>
      <c r="L4" s="3" t="s">
        <v>24</v>
      </c>
      <c r="M4" s="3"/>
      <c r="N4" s="3"/>
    </row>
    <row r="5" spans="1:14" x14ac:dyDescent="0.45">
      <c r="A5" t="s">
        <v>4</v>
      </c>
      <c r="D5" s="2">
        <v>121.8024231696524</v>
      </c>
      <c r="G5" t="s">
        <v>6</v>
      </c>
      <c r="H5" t="s">
        <v>7</v>
      </c>
      <c r="I5" t="s">
        <v>54</v>
      </c>
      <c r="L5" t="s">
        <v>25</v>
      </c>
      <c r="M5" t="s">
        <v>26</v>
      </c>
    </row>
    <row r="6" spans="1:14" x14ac:dyDescent="0.45">
      <c r="G6">
        <v>-7.5650762368576245</v>
      </c>
      <c r="H6">
        <v>0.36498303213361882</v>
      </c>
      <c r="I6">
        <v>3.2230311260314073E-2</v>
      </c>
      <c r="L6">
        <f>SUM(M16:M137)</f>
        <v>572203.41156693164</v>
      </c>
    </row>
    <row r="7" spans="1:14" x14ac:dyDescent="0.45">
      <c r="A7" s="3" t="s">
        <v>57</v>
      </c>
      <c r="B7" s="3"/>
      <c r="C7" s="3"/>
      <c r="D7" s="3"/>
      <c r="E7" s="3"/>
    </row>
    <row r="8" spans="1:14" x14ac:dyDescent="0.45">
      <c r="B8" t="s">
        <v>6</v>
      </c>
      <c r="C8" t="s">
        <v>7</v>
      </c>
      <c r="D8" t="s">
        <v>54</v>
      </c>
      <c r="E8" t="s">
        <v>8</v>
      </c>
    </row>
    <row r="9" spans="1:14" x14ac:dyDescent="0.45">
      <c r="A9" t="s">
        <v>9</v>
      </c>
      <c r="B9">
        <v>3</v>
      </c>
      <c r="C9">
        <v>0.3</v>
      </c>
      <c r="D9">
        <v>0.03</v>
      </c>
      <c r="E9">
        <v>70</v>
      </c>
    </row>
    <row r="11" spans="1:14" x14ac:dyDescent="0.45">
      <c r="A11" s="3" t="s">
        <v>10</v>
      </c>
      <c r="B11" s="3"/>
    </row>
    <row r="12" spans="1:14" x14ac:dyDescent="0.45">
      <c r="B12">
        <v>3.6108939487603502</v>
      </c>
      <c r="C12">
        <v>0.218098819762235</v>
      </c>
      <c r="D12">
        <v>3.3394616214791298E-2</v>
      </c>
      <c r="E12">
        <v>69.974836555338698</v>
      </c>
    </row>
    <row r="14" spans="1:14" x14ac:dyDescent="0.45">
      <c r="A14" s="1">
        <v>2</v>
      </c>
      <c r="B14" s="1" t="s">
        <v>11</v>
      </c>
      <c r="C14" s="1"/>
      <c r="D14" s="1"/>
      <c r="E14" s="1"/>
      <c r="H14" s="1">
        <v>3</v>
      </c>
      <c r="I14" s="1" t="s">
        <v>17</v>
      </c>
      <c r="J14" s="1"/>
      <c r="L14" s="1">
        <v>4</v>
      </c>
      <c r="M14" s="1" t="s">
        <v>19</v>
      </c>
      <c r="N14" s="1"/>
    </row>
    <row r="15" spans="1:14" x14ac:dyDescent="0.45">
      <c r="A15" t="s">
        <v>12</v>
      </c>
      <c r="B15" t="s">
        <v>13</v>
      </c>
      <c r="C15" t="s">
        <v>55</v>
      </c>
      <c r="D15" t="s">
        <v>56</v>
      </c>
      <c r="E15" t="s">
        <v>15</v>
      </c>
      <c r="F15" t="s">
        <v>16</v>
      </c>
      <c r="H15" t="s">
        <v>18</v>
      </c>
      <c r="L15" t="s">
        <v>20</v>
      </c>
      <c r="M15" t="s">
        <v>21</v>
      </c>
    </row>
    <row r="16" spans="1:14" x14ac:dyDescent="0.45">
      <c r="A16">
        <v>1</v>
      </c>
      <c r="B16">
        <v>1</v>
      </c>
      <c r="C16">
        <f>B16^2</f>
        <v>1</v>
      </c>
      <c r="D16">
        <f>$B$12+$C$12*B16+$D$12*C16</f>
        <v>3.8623873847373762</v>
      </c>
      <c r="E16">
        <v>-0.56729618336248677</v>
      </c>
      <c r="F16">
        <f>D16+$E$9*E16</f>
        <v>-35.8483454506367</v>
      </c>
      <c r="H16">
        <f>$G$6+$H$6*B16+$I$6*C16</f>
        <v>-7.1678628934636919</v>
      </c>
      <c r="L16">
        <f>F16-H16</f>
        <v>-28.680482557173008</v>
      </c>
      <c r="M16">
        <f>L16^2</f>
        <v>822.57007971230519</v>
      </c>
    </row>
    <row r="17" spans="1:20" x14ac:dyDescent="0.45">
      <c r="A17">
        <f>A16+1</f>
        <v>2</v>
      </c>
      <c r="B17">
        <f>B16+1</f>
        <v>2</v>
      </c>
      <c r="C17">
        <f t="shared" ref="C17:C80" si="0">B17^2</f>
        <v>4</v>
      </c>
      <c r="D17">
        <f t="shared" ref="D17:D80" si="1">$B$12+$C$12*B17+$D$12*C17</f>
        <v>4.1806700531439853</v>
      </c>
      <c r="E17">
        <v>-0.57594320423959289</v>
      </c>
      <c r="F17">
        <f>D17+$E$9*E17</f>
        <v>-36.135354243627518</v>
      </c>
      <c r="H17">
        <f t="shared" ref="H17:H80" si="2">$G$6+$H$6*B17+$I$6*C17</f>
        <v>-6.70618892754913</v>
      </c>
      <c r="L17">
        <f t="shared" ref="L17:L80" si="3">F17-H17</f>
        <v>-29.429165316078389</v>
      </c>
      <c r="M17">
        <f t="shared" ref="M17:M80" si="4">L17^2</f>
        <v>866.07577120107123</v>
      </c>
    </row>
    <row r="18" spans="1:20" x14ac:dyDescent="0.45">
      <c r="A18">
        <f t="shared" ref="A18:A81" si="5">A17+1</f>
        <v>3</v>
      </c>
      <c r="B18">
        <f t="shared" ref="B18:B81" si="6">B17+1</f>
        <v>3</v>
      </c>
      <c r="C18">
        <f t="shared" si="0"/>
        <v>9</v>
      </c>
      <c r="D18">
        <f>$B$12+$C$12*B18+$D$12*C18</f>
        <v>4.5657419539801767</v>
      </c>
      <c r="E18">
        <v>-1.2314740160945803</v>
      </c>
      <c r="F18">
        <f t="shared" ref="F18:F80" si="7">D18+$E$9*E18</f>
        <v>-81.637439172640441</v>
      </c>
      <c r="H18">
        <f t="shared" si="2"/>
        <v>-6.1800543391139406</v>
      </c>
      <c r="L18">
        <f t="shared" si="3"/>
        <v>-75.457384833526504</v>
      </c>
      <c r="M18">
        <f t="shared" si="4"/>
        <v>5693.8169259149154</v>
      </c>
    </row>
    <row r="19" spans="1:20" x14ac:dyDescent="0.45">
      <c r="A19">
        <f t="shared" si="5"/>
        <v>4</v>
      </c>
      <c r="B19">
        <f t="shared" si="6"/>
        <v>4</v>
      </c>
      <c r="C19">
        <f t="shared" si="0"/>
        <v>16</v>
      </c>
      <c r="D19">
        <f t="shared" si="1"/>
        <v>5.0176030872459512</v>
      </c>
      <c r="E19">
        <v>-1.7863612811197527E-2</v>
      </c>
      <c r="F19">
        <f t="shared" si="7"/>
        <v>3.7671501904621243</v>
      </c>
      <c r="H19">
        <f t="shared" si="2"/>
        <v>-5.5894591281581238</v>
      </c>
      <c r="L19">
        <f t="shared" si="3"/>
        <v>9.3566093186202473</v>
      </c>
      <c r="M19">
        <f t="shared" si="4"/>
        <v>87.546137941291249</v>
      </c>
    </row>
    <row r="20" spans="1:20" x14ac:dyDescent="0.45">
      <c r="A20">
        <f t="shared" si="5"/>
        <v>5</v>
      </c>
      <c r="B20">
        <f t="shared" si="6"/>
        <v>5</v>
      </c>
      <c r="C20">
        <f t="shared" si="0"/>
        <v>25</v>
      </c>
      <c r="D20">
        <f t="shared" si="1"/>
        <v>5.5362534529413079</v>
      </c>
      <c r="E20">
        <v>-0.53656094678444788</v>
      </c>
      <c r="F20">
        <f t="shared" si="7"/>
        <v>-32.023012821970042</v>
      </c>
      <c r="H20">
        <f t="shared" si="2"/>
        <v>-4.9344032946816778</v>
      </c>
      <c r="L20">
        <f t="shared" si="3"/>
        <v>-27.088609527288362</v>
      </c>
      <c r="M20">
        <f t="shared" si="4"/>
        <v>733.79276612189778</v>
      </c>
    </row>
    <row r="21" spans="1:20" x14ac:dyDescent="0.45">
      <c r="A21">
        <f t="shared" si="5"/>
        <v>6</v>
      </c>
      <c r="B21">
        <f t="shared" si="6"/>
        <v>6</v>
      </c>
      <c r="C21">
        <f t="shared" si="0"/>
        <v>36</v>
      </c>
      <c r="D21">
        <f t="shared" si="1"/>
        <v>6.1216930510662468</v>
      </c>
      <c r="E21">
        <v>1.2005489224975463</v>
      </c>
      <c r="F21">
        <f t="shared" si="7"/>
        <v>90.160117625894486</v>
      </c>
      <c r="H21">
        <f t="shared" si="2"/>
        <v>-4.2148868386846052</v>
      </c>
      <c r="L21">
        <f t="shared" si="3"/>
        <v>94.375004464579092</v>
      </c>
      <c r="M21">
        <f t="shared" si="4"/>
        <v>8906.6414676893237</v>
      </c>
      <c r="O21" s="1">
        <v>6</v>
      </c>
      <c r="P21" s="1" t="s">
        <v>27</v>
      </c>
      <c r="Q21" s="1"/>
      <c r="R21" s="1"/>
      <c r="S21" s="1"/>
      <c r="T21" s="1"/>
    </row>
    <row r="22" spans="1:20" x14ac:dyDescent="0.45">
      <c r="A22">
        <f t="shared" si="5"/>
        <v>7</v>
      </c>
      <c r="B22">
        <f t="shared" si="6"/>
        <v>7</v>
      </c>
      <c r="C22">
        <f t="shared" si="0"/>
        <v>49</v>
      </c>
      <c r="D22">
        <f t="shared" si="1"/>
        <v>6.7739218816207689</v>
      </c>
      <c r="E22">
        <v>-1.7414367903256789</v>
      </c>
      <c r="F22">
        <f t="shared" si="7"/>
        <v>-115.12665344117676</v>
      </c>
      <c r="H22">
        <f t="shared" si="2"/>
        <v>-3.4309097601669034</v>
      </c>
      <c r="L22">
        <f t="shared" si="3"/>
        <v>-111.69574368100986</v>
      </c>
      <c r="M22">
        <f t="shared" si="4"/>
        <v>12475.939156453855</v>
      </c>
      <c r="O22" t="s">
        <v>28</v>
      </c>
    </row>
    <row r="23" spans="1:20" ht="14.65" thickBot="1" x14ac:dyDescent="0.5">
      <c r="A23">
        <f t="shared" si="5"/>
        <v>8</v>
      </c>
      <c r="B23">
        <f t="shared" si="6"/>
        <v>8</v>
      </c>
      <c r="C23">
        <f t="shared" si="0"/>
        <v>64</v>
      </c>
      <c r="D23">
        <f t="shared" si="1"/>
        <v>7.4929399446048732</v>
      </c>
      <c r="E23">
        <v>0.12721557141048834</v>
      </c>
      <c r="F23">
        <f t="shared" si="7"/>
        <v>16.398029943339058</v>
      </c>
      <c r="H23">
        <f t="shared" si="2"/>
        <v>-2.5824720591285732</v>
      </c>
      <c r="L23">
        <f t="shared" si="3"/>
        <v>18.980502002467631</v>
      </c>
      <c r="M23">
        <f t="shared" si="4"/>
        <v>360.25945626567773</v>
      </c>
    </row>
    <row r="24" spans="1:20" x14ac:dyDescent="0.45">
      <c r="A24">
        <f t="shared" si="5"/>
        <v>9</v>
      </c>
      <c r="B24">
        <f t="shared" si="6"/>
        <v>9</v>
      </c>
      <c r="C24">
        <f t="shared" si="0"/>
        <v>81</v>
      </c>
      <c r="D24">
        <f t="shared" si="1"/>
        <v>8.2787472400185607</v>
      </c>
      <c r="E24">
        <v>-0.39327915146714076</v>
      </c>
      <c r="F24">
        <f t="shared" si="7"/>
        <v>-19.250793362681293</v>
      </c>
      <c r="H24">
        <f t="shared" si="2"/>
        <v>-1.6695737355696152</v>
      </c>
      <c r="L24">
        <f t="shared" si="3"/>
        <v>-17.581219627111679</v>
      </c>
      <c r="M24">
        <f t="shared" si="4"/>
        <v>309.09928357673692</v>
      </c>
      <c r="O24" s="7" t="s">
        <v>29</v>
      </c>
      <c r="P24" s="7"/>
    </row>
    <row r="25" spans="1:20" x14ac:dyDescent="0.45">
      <c r="A25">
        <f t="shared" si="5"/>
        <v>10</v>
      </c>
      <c r="B25">
        <f t="shared" si="6"/>
        <v>10</v>
      </c>
      <c r="C25">
        <f t="shared" si="0"/>
        <v>100</v>
      </c>
      <c r="D25">
        <f t="shared" si="1"/>
        <v>9.1313437678618303</v>
      </c>
      <c r="E25">
        <v>0.54799329518573359</v>
      </c>
      <c r="F25">
        <f t="shared" si="7"/>
        <v>47.49087443086318</v>
      </c>
      <c r="H25">
        <f t="shared" si="2"/>
        <v>-0.69221478949002879</v>
      </c>
      <c r="L25">
        <f t="shared" si="3"/>
        <v>48.18308922035321</v>
      </c>
      <c r="M25">
        <f t="shared" si="4"/>
        <v>2321.6100868165177</v>
      </c>
      <c r="O25" s="4" t="s">
        <v>30</v>
      </c>
      <c r="P25" s="4">
        <v>0.89199895320259071</v>
      </c>
    </row>
    <row r="26" spans="1:20" x14ac:dyDescent="0.45">
      <c r="A26">
        <f t="shared" si="5"/>
        <v>11</v>
      </c>
      <c r="B26">
        <f t="shared" si="6"/>
        <v>11</v>
      </c>
      <c r="C26">
        <f t="shared" si="0"/>
        <v>121</v>
      </c>
      <c r="D26">
        <f t="shared" si="1"/>
        <v>10.050729528134681</v>
      </c>
      <c r="E26">
        <v>0.49436039262218401</v>
      </c>
      <c r="F26">
        <f t="shared" si="7"/>
        <v>44.655957011687562</v>
      </c>
      <c r="H26">
        <f t="shared" si="2"/>
        <v>0.34960477911018595</v>
      </c>
      <c r="L26">
        <f t="shared" si="3"/>
        <v>44.306352232577375</v>
      </c>
      <c r="M26">
        <f t="shared" si="4"/>
        <v>1963.0528481572142</v>
      </c>
      <c r="O26" s="4" t="s">
        <v>31</v>
      </c>
      <c r="P26" s="4">
        <v>0.79566213251451767</v>
      </c>
    </row>
    <row r="27" spans="1:20" x14ac:dyDescent="0.45">
      <c r="A27">
        <f t="shared" si="5"/>
        <v>12</v>
      </c>
      <c r="B27">
        <f t="shared" si="6"/>
        <v>12</v>
      </c>
      <c r="C27">
        <f t="shared" si="0"/>
        <v>144</v>
      </c>
      <c r="D27">
        <f t="shared" si="1"/>
        <v>11.036904520837115</v>
      </c>
      <c r="E27">
        <v>-1.2578630048665218</v>
      </c>
      <c r="F27">
        <f t="shared" si="7"/>
        <v>-77.013505819819414</v>
      </c>
      <c r="H27">
        <f t="shared" si="2"/>
        <v>1.4558849702310273</v>
      </c>
      <c r="L27">
        <f t="shared" si="3"/>
        <v>-78.46939079005044</v>
      </c>
      <c r="M27">
        <f t="shared" si="4"/>
        <v>6157.445290961653</v>
      </c>
      <c r="O27" s="4" t="s">
        <v>32</v>
      </c>
      <c r="P27" s="4">
        <v>0.79395931695213862</v>
      </c>
    </row>
    <row r="28" spans="1:20" x14ac:dyDescent="0.45">
      <c r="A28">
        <f t="shared" si="5"/>
        <v>13</v>
      </c>
      <c r="B28">
        <f t="shared" si="6"/>
        <v>13</v>
      </c>
      <c r="C28">
        <f t="shared" si="0"/>
        <v>169</v>
      </c>
      <c r="D28">
        <f t="shared" si="1"/>
        <v>12.089868745969135</v>
      </c>
      <c r="E28">
        <v>0.32400635063822847</v>
      </c>
      <c r="F28">
        <f t="shared" si="7"/>
        <v>34.770313290645127</v>
      </c>
      <c r="H28">
        <f t="shared" si="2"/>
        <v>2.6266257838724982</v>
      </c>
      <c r="L28">
        <f t="shared" si="3"/>
        <v>32.143687506772629</v>
      </c>
      <c r="M28">
        <f t="shared" si="4"/>
        <v>1033.2166465330508</v>
      </c>
      <c r="O28" s="4" t="s">
        <v>33</v>
      </c>
      <c r="P28" s="4">
        <v>77.904164082054933</v>
      </c>
    </row>
    <row r="29" spans="1:20" ht="14.65" thickBot="1" x14ac:dyDescent="0.5">
      <c r="A29">
        <f t="shared" si="5"/>
        <v>14</v>
      </c>
      <c r="B29">
        <f t="shared" si="6"/>
        <v>14</v>
      </c>
      <c r="C29">
        <f t="shared" si="0"/>
        <v>196</v>
      </c>
      <c r="D29">
        <f t="shared" si="1"/>
        <v>13.209622203530735</v>
      </c>
      <c r="E29">
        <v>0.60517777455970645</v>
      </c>
      <c r="F29">
        <f t="shared" si="7"/>
        <v>55.572066422710186</v>
      </c>
      <c r="H29">
        <f t="shared" si="2"/>
        <v>3.8618272200345976</v>
      </c>
      <c r="L29">
        <f t="shared" si="3"/>
        <v>51.710239202675588</v>
      </c>
      <c r="M29">
        <f t="shared" si="4"/>
        <v>2673.9488383979274</v>
      </c>
      <c r="O29" s="5" t="s">
        <v>34</v>
      </c>
      <c r="P29" s="5">
        <v>122</v>
      </c>
    </row>
    <row r="30" spans="1:20" x14ac:dyDescent="0.45">
      <c r="A30">
        <f t="shared" si="5"/>
        <v>15</v>
      </c>
      <c r="B30">
        <f t="shared" si="6"/>
        <v>15</v>
      </c>
      <c r="C30">
        <f t="shared" si="0"/>
        <v>225</v>
      </c>
      <c r="D30">
        <f t="shared" si="1"/>
        <v>14.396164893521917</v>
      </c>
      <c r="E30">
        <v>-2.3642496671527624</v>
      </c>
      <c r="F30">
        <f t="shared" si="7"/>
        <v>-151.10131180717144</v>
      </c>
      <c r="H30">
        <f t="shared" si="2"/>
        <v>5.1614892787173243</v>
      </c>
      <c r="L30">
        <f t="shared" si="3"/>
        <v>-156.26280108588875</v>
      </c>
      <c r="M30">
        <f t="shared" si="4"/>
        <v>24418.063003208037</v>
      </c>
    </row>
    <row r="31" spans="1:20" ht="14.65" thickBot="1" x14ac:dyDescent="0.5">
      <c r="A31">
        <f t="shared" si="5"/>
        <v>16</v>
      </c>
      <c r="B31">
        <f t="shared" si="6"/>
        <v>16</v>
      </c>
      <c r="C31">
        <f t="shared" si="0"/>
        <v>256</v>
      </c>
      <c r="D31">
        <f t="shared" si="1"/>
        <v>15.649496815942683</v>
      </c>
      <c r="E31">
        <v>-1.0469693734194152</v>
      </c>
      <c r="F31">
        <f t="shared" si="7"/>
        <v>-57.638359323416381</v>
      </c>
      <c r="H31">
        <f t="shared" si="2"/>
        <v>6.5256119599206794</v>
      </c>
      <c r="L31">
        <f t="shared" si="3"/>
        <v>-64.163971283337062</v>
      </c>
      <c r="M31">
        <f t="shared" si="4"/>
        <v>4117.0152108489028</v>
      </c>
      <c r="O31" t="s">
        <v>35</v>
      </c>
    </row>
    <row r="32" spans="1:20" x14ac:dyDescent="0.45">
      <c r="A32">
        <f t="shared" si="5"/>
        <v>17</v>
      </c>
      <c r="B32">
        <f t="shared" si="6"/>
        <v>17</v>
      </c>
      <c r="C32">
        <f t="shared" si="0"/>
        <v>289</v>
      </c>
      <c r="D32">
        <f t="shared" si="1"/>
        <v>16.969617970793031</v>
      </c>
      <c r="E32">
        <v>-1.3638555174111389</v>
      </c>
      <c r="F32">
        <f t="shared" si="7"/>
        <v>-78.500268247986696</v>
      </c>
      <c r="H32">
        <f t="shared" si="2"/>
        <v>7.954195263644662</v>
      </c>
      <c r="L32">
        <f t="shared" si="3"/>
        <v>-86.45446351163136</v>
      </c>
      <c r="M32">
        <f t="shared" si="4"/>
        <v>7474.3742610839981</v>
      </c>
      <c r="O32" s="6"/>
      <c r="P32" s="6" t="s">
        <v>40</v>
      </c>
      <c r="Q32" s="6" t="s">
        <v>41</v>
      </c>
      <c r="R32" s="6" t="s">
        <v>42</v>
      </c>
      <c r="S32" s="6" t="s">
        <v>43</v>
      </c>
      <c r="T32" s="6" t="s">
        <v>44</v>
      </c>
    </row>
    <row r="33" spans="1:23" x14ac:dyDescent="0.45">
      <c r="A33">
        <f t="shared" si="5"/>
        <v>18</v>
      </c>
      <c r="B33">
        <f t="shared" si="6"/>
        <v>18</v>
      </c>
      <c r="C33">
        <f t="shared" si="0"/>
        <v>324</v>
      </c>
      <c r="D33">
        <f t="shared" si="1"/>
        <v>18.356528358072961</v>
      </c>
      <c r="E33">
        <v>0.82252313404751476</v>
      </c>
      <c r="F33">
        <f t="shared" si="7"/>
        <v>75.933147741398997</v>
      </c>
      <c r="H33">
        <f t="shared" si="2"/>
        <v>9.4472391898892738</v>
      </c>
      <c r="L33">
        <f t="shared" si="3"/>
        <v>66.485908551509723</v>
      </c>
      <c r="M33">
        <f t="shared" si="4"/>
        <v>4420.376035919714</v>
      </c>
      <c r="O33" s="4" t="s">
        <v>36</v>
      </c>
      <c r="P33" s="4">
        <v>1</v>
      </c>
      <c r="Q33" s="4">
        <v>2835844.5617900472</v>
      </c>
      <c r="R33" s="4">
        <v>2835844.5617900472</v>
      </c>
      <c r="S33" s="4">
        <v>467.26266196609708</v>
      </c>
      <c r="T33" s="4">
        <v>3.3970519528278771E-43</v>
      </c>
    </row>
    <row r="34" spans="1:23" x14ac:dyDescent="0.45">
      <c r="A34">
        <f t="shared" si="5"/>
        <v>19</v>
      </c>
      <c r="B34">
        <f t="shared" si="6"/>
        <v>19</v>
      </c>
      <c r="C34">
        <f t="shared" si="0"/>
        <v>361</v>
      </c>
      <c r="D34">
        <f t="shared" si="1"/>
        <v>19.810227977782475</v>
      </c>
      <c r="E34">
        <v>0.96964186013792641</v>
      </c>
      <c r="F34">
        <f t="shared" si="7"/>
        <v>87.685158187437324</v>
      </c>
      <c r="H34">
        <f t="shared" si="2"/>
        <v>11.004743738654515</v>
      </c>
      <c r="L34">
        <f t="shared" si="3"/>
        <v>76.680414448782813</v>
      </c>
      <c r="M34">
        <f t="shared" si="4"/>
        <v>5879.8859600370997</v>
      </c>
      <c r="O34" s="4" t="s">
        <v>37</v>
      </c>
      <c r="P34" s="4">
        <v>120</v>
      </c>
      <c r="Q34" s="4">
        <v>728287.05375884869</v>
      </c>
      <c r="R34" s="4">
        <v>6069.0587813237389</v>
      </c>
      <c r="S34" s="4"/>
      <c r="T34" s="4"/>
    </row>
    <row r="35" spans="1:23" ht="14.65" thickBot="1" x14ac:dyDescent="0.5">
      <c r="A35">
        <f t="shared" si="5"/>
        <v>20</v>
      </c>
      <c r="B35">
        <f t="shared" si="6"/>
        <v>20</v>
      </c>
      <c r="C35">
        <f t="shared" si="0"/>
        <v>400</v>
      </c>
      <c r="D35">
        <f t="shared" si="1"/>
        <v>21.33071682992157</v>
      </c>
      <c r="E35">
        <v>2.5820554583333433E-2</v>
      </c>
      <c r="F35">
        <f t="shared" si="7"/>
        <v>23.138155650754911</v>
      </c>
      <c r="H35">
        <f t="shared" si="2"/>
        <v>12.626708909940382</v>
      </c>
      <c r="L35">
        <f t="shared" si="3"/>
        <v>10.511446740814529</v>
      </c>
      <c r="M35">
        <f t="shared" si="4"/>
        <v>110.49051258498038</v>
      </c>
      <c r="O35" s="5" t="s">
        <v>38</v>
      </c>
      <c r="P35" s="5">
        <v>121</v>
      </c>
      <c r="Q35" s="5">
        <v>3564131.6155488957</v>
      </c>
      <c r="R35" s="5"/>
      <c r="S35" s="5"/>
      <c r="T35" s="5"/>
    </row>
    <row r="36" spans="1:23" ht="14.65" thickBot="1" x14ac:dyDescent="0.5">
      <c r="A36">
        <f t="shared" si="5"/>
        <v>21</v>
      </c>
      <c r="B36">
        <f t="shared" si="6"/>
        <v>21</v>
      </c>
      <c r="C36">
        <f t="shared" si="0"/>
        <v>441</v>
      </c>
      <c r="D36">
        <f t="shared" si="1"/>
        <v>22.917994914490247</v>
      </c>
      <c r="E36">
        <v>0.63812422013143077</v>
      </c>
      <c r="F36">
        <f t="shared" si="7"/>
        <v>67.586690323690405</v>
      </c>
      <c r="H36">
        <f t="shared" si="2"/>
        <v>14.313134703746876</v>
      </c>
      <c r="L36">
        <f t="shared" si="3"/>
        <v>53.273555619943529</v>
      </c>
      <c r="M36">
        <f t="shared" si="4"/>
        <v>2838.0717283912168</v>
      </c>
    </row>
    <row r="37" spans="1:23" x14ac:dyDescent="0.45">
      <c r="A37">
        <f t="shared" si="5"/>
        <v>22</v>
      </c>
      <c r="B37">
        <f t="shared" si="6"/>
        <v>22</v>
      </c>
      <c r="C37">
        <f t="shared" si="0"/>
        <v>484</v>
      </c>
      <c r="D37">
        <f t="shared" si="1"/>
        <v>24.572062231488509</v>
      </c>
      <c r="E37">
        <v>1.0905750968959183</v>
      </c>
      <c r="F37">
        <f t="shared" si="7"/>
        <v>100.91231901420278</v>
      </c>
      <c r="H37">
        <f t="shared" si="2"/>
        <v>16.064021120074003</v>
      </c>
      <c r="L37">
        <f t="shared" si="3"/>
        <v>84.848297894128777</v>
      </c>
      <c r="M37">
        <f t="shared" si="4"/>
        <v>7199.2336555308175</v>
      </c>
      <c r="O37" s="6"/>
      <c r="P37" s="6" t="s">
        <v>45</v>
      </c>
      <c r="Q37" s="6" t="s">
        <v>33</v>
      </c>
      <c r="R37" s="6" t="s">
        <v>46</v>
      </c>
      <c r="S37" s="6" t="s">
        <v>47</v>
      </c>
      <c r="T37" s="6" t="s">
        <v>48</v>
      </c>
      <c r="U37" s="6" t="s">
        <v>49</v>
      </c>
      <c r="V37" s="6" t="s">
        <v>50</v>
      </c>
      <c r="W37" s="6" t="s">
        <v>51</v>
      </c>
    </row>
    <row r="38" spans="1:23" x14ac:dyDescent="0.45">
      <c r="A38">
        <f t="shared" si="5"/>
        <v>23</v>
      </c>
      <c r="B38">
        <f t="shared" si="6"/>
        <v>23</v>
      </c>
      <c r="C38">
        <f t="shared" si="0"/>
        <v>529</v>
      </c>
      <c r="D38">
        <f t="shared" si="1"/>
        <v>26.292918780916349</v>
      </c>
      <c r="E38">
        <v>0.94556526164524257</v>
      </c>
      <c r="F38">
        <f t="shared" si="7"/>
        <v>92.482487096083332</v>
      </c>
      <c r="H38">
        <f t="shared" si="2"/>
        <v>17.879368158921757</v>
      </c>
      <c r="L38">
        <f t="shared" si="3"/>
        <v>74.603118937161582</v>
      </c>
      <c r="M38">
        <f t="shared" si="4"/>
        <v>5565.6253551522768</v>
      </c>
      <c r="O38" s="4" t="s">
        <v>39</v>
      </c>
      <c r="P38" s="4">
        <v>-89.484460282538748</v>
      </c>
      <c r="Q38" s="4">
        <v>14.193389187567844</v>
      </c>
      <c r="R38" s="4">
        <v>-6.3046576895755972</v>
      </c>
      <c r="S38" s="4">
        <v>4.9885488957513722E-9</v>
      </c>
      <c r="T38" s="4">
        <v>-117.58638308617269</v>
      </c>
      <c r="U38" s="4">
        <v>-61.382537478904808</v>
      </c>
      <c r="V38" s="4">
        <v>-117.58638308617269</v>
      </c>
      <c r="W38" s="4">
        <v>-61.382537478904808</v>
      </c>
    </row>
    <row r="39" spans="1:23" ht="14.65" thickBot="1" x14ac:dyDescent="0.5">
      <c r="A39">
        <f t="shared" si="5"/>
        <v>24</v>
      </c>
      <c r="B39">
        <f t="shared" si="6"/>
        <v>24</v>
      </c>
      <c r="C39">
        <f t="shared" si="0"/>
        <v>576</v>
      </c>
      <c r="D39">
        <f t="shared" si="1"/>
        <v>28.080564562773777</v>
      </c>
      <c r="E39">
        <v>-1.1028578228433616</v>
      </c>
      <c r="F39">
        <f t="shared" si="7"/>
        <v>-49.119483036261542</v>
      </c>
      <c r="H39">
        <f t="shared" si="2"/>
        <v>19.759175820290132</v>
      </c>
      <c r="L39">
        <f t="shared" si="3"/>
        <v>-68.878658856551681</v>
      </c>
      <c r="M39">
        <f t="shared" si="4"/>
        <v>4744.2696458772252</v>
      </c>
      <c r="O39" s="5" t="s">
        <v>52</v>
      </c>
      <c r="P39" s="5">
        <v>4.3291903142487707</v>
      </c>
      <c r="Q39" s="5">
        <v>0.20027472253324333</v>
      </c>
      <c r="R39" s="5">
        <v>21.616259203805285</v>
      </c>
      <c r="S39" s="5">
        <v>3.3970519528280698E-43</v>
      </c>
      <c r="T39" s="5">
        <v>3.9326603017357527</v>
      </c>
      <c r="U39" s="5">
        <v>4.7257203267617882</v>
      </c>
      <c r="V39" s="5">
        <v>3.9326603017357527</v>
      </c>
      <c r="W39" s="5">
        <v>4.7257203267617882</v>
      </c>
    </row>
    <row r="40" spans="1:23" x14ac:dyDescent="0.45">
      <c r="A40">
        <f t="shared" si="5"/>
        <v>25</v>
      </c>
      <c r="B40">
        <f t="shared" si="6"/>
        <v>25</v>
      </c>
      <c r="C40">
        <f t="shared" si="0"/>
        <v>625</v>
      </c>
      <c r="D40">
        <f t="shared" si="1"/>
        <v>29.934999577060786</v>
      </c>
      <c r="E40">
        <v>-0.11819679457403254</v>
      </c>
      <c r="F40">
        <f t="shared" si="7"/>
        <v>21.661223956878509</v>
      </c>
      <c r="H40">
        <f t="shared" si="2"/>
        <v>21.703444104179141</v>
      </c>
      <c r="L40">
        <f t="shared" si="3"/>
        <v>-4.2220147300632505E-2</v>
      </c>
      <c r="M40">
        <f t="shared" si="4"/>
        <v>1.7825408380871062E-3</v>
      </c>
    </row>
    <row r="41" spans="1:23" x14ac:dyDescent="0.45">
      <c r="A41">
        <f t="shared" si="5"/>
        <v>26</v>
      </c>
      <c r="B41">
        <f t="shared" si="6"/>
        <v>26</v>
      </c>
      <c r="C41">
        <f t="shared" si="0"/>
        <v>676</v>
      </c>
      <c r="D41">
        <f t="shared" si="1"/>
        <v>31.856223823777377</v>
      </c>
      <c r="E41">
        <v>0.60407614910218399</v>
      </c>
      <c r="F41">
        <f t="shared" si="7"/>
        <v>74.141554260930263</v>
      </c>
      <c r="H41">
        <f t="shared" si="2"/>
        <v>23.712173010588778</v>
      </c>
      <c r="L41">
        <f t="shared" si="3"/>
        <v>50.429381250341486</v>
      </c>
      <c r="M41">
        <f t="shared" si="4"/>
        <v>2543.1224932922933</v>
      </c>
      <c r="O41" t="s">
        <v>73</v>
      </c>
    </row>
    <row r="42" spans="1:23" x14ac:dyDescent="0.45">
      <c r="A42">
        <f t="shared" si="5"/>
        <v>27</v>
      </c>
      <c r="B42">
        <f t="shared" si="6"/>
        <v>27</v>
      </c>
      <c r="C42">
        <f t="shared" si="0"/>
        <v>729</v>
      </c>
      <c r="D42">
        <f t="shared" si="1"/>
        <v>33.844237302923553</v>
      </c>
      <c r="E42">
        <v>1.1789688869612291</v>
      </c>
      <c r="F42">
        <f t="shared" si="7"/>
        <v>116.37205939020959</v>
      </c>
      <c r="H42">
        <f t="shared" si="2"/>
        <v>25.785362539519042</v>
      </c>
      <c r="L42">
        <f t="shared" si="3"/>
        <v>90.586696850690544</v>
      </c>
      <c r="M42">
        <f t="shared" si="4"/>
        <v>8205.949646318908</v>
      </c>
      <c r="O42" t="s">
        <v>28</v>
      </c>
    </row>
    <row r="43" spans="1:23" ht="14.65" thickBot="1" x14ac:dyDescent="0.5">
      <c r="A43">
        <f t="shared" si="5"/>
        <v>28</v>
      </c>
      <c r="B43">
        <f t="shared" si="6"/>
        <v>28</v>
      </c>
      <c r="C43">
        <f t="shared" si="0"/>
        <v>784</v>
      </c>
      <c r="D43">
        <f t="shared" si="1"/>
        <v>35.899040014499306</v>
      </c>
      <c r="E43">
        <v>-2.2457425075117499</v>
      </c>
      <c r="F43">
        <f t="shared" si="7"/>
        <v>-121.30293551132318</v>
      </c>
      <c r="H43">
        <f t="shared" si="2"/>
        <v>27.923012690969937</v>
      </c>
      <c r="L43">
        <f t="shared" si="3"/>
        <v>-149.22594820229313</v>
      </c>
      <c r="M43">
        <f t="shared" si="4"/>
        <v>22268.383616873471</v>
      </c>
    </row>
    <row r="44" spans="1:23" x14ac:dyDescent="0.45">
      <c r="A44">
        <f t="shared" si="5"/>
        <v>29</v>
      </c>
      <c r="B44">
        <f t="shared" si="6"/>
        <v>29</v>
      </c>
      <c r="C44">
        <f t="shared" si="0"/>
        <v>841</v>
      </c>
      <c r="D44">
        <f t="shared" si="1"/>
        <v>38.020631958504644</v>
      </c>
      <c r="E44">
        <v>0.76067408372182399</v>
      </c>
      <c r="F44">
        <f t="shared" si="7"/>
        <v>91.267817819032331</v>
      </c>
      <c r="H44">
        <f t="shared" si="2"/>
        <v>30.125123464941456</v>
      </c>
      <c r="L44">
        <f t="shared" si="3"/>
        <v>61.142694354090878</v>
      </c>
      <c r="M44">
        <f t="shared" si="4"/>
        <v>3738.4290728777764</v>
      </c>
      <c r="O44" s="7" t="s">
        <v>29</v>
      </c>
      <c r="P44" s="7"/>
    </row>
    <row r="45" spans="1:23" x14ac:dyDescent="0.45">
      <c r="A45">
        <f t="shared" si="5"/>
        <v>30</v>
      </c>
      <c r="B45">
        <f t="shared" si="6"/>
        <v>30</v>
      </c>
      <c r="C45">
        <f t="shared" si="0"/>
        <v>900</v>
      </c>
      <c r="D45">
        <f t="shared" si="1"/>
        <v>40.209013134939568</v>
      </c>
      <c r="E45">
        <v>0.51329379857634194</v>
      </c>
      <c r="F45">
        <f t="shared" si="7"/>
        <v>76.139579035283504</v>
      </c>
      <c r="H45">
        <f t="shared" si="2"/>
        <v>32.391694861433606</v>
      </c>
      <c r="L45">
        <f t="shared" si="3"/>
        <v>43.747884173849897</v>
      </c>
      <c r="M45">
        <f t="shared" si="4"/>
        <v>1913.8773696885862</v>
      </c>
      <c r="O45" s="4" t="s">
        <v>30</v>
      </c>
      <c r="P45" s="4">
        <v>0.91621779079486088</v>
      </c>
    </row>
    <row r="46" spans="1:23" x14ac:dyDescent="0.45">
      <c r="A46">
        <f t="shared" si="5"/>
        <v>31</v>
      </c>
      <c r="B46">
        <f t="shared" si="6"/>
        <v>31</v>
      </c>
      <c r="C46">
        <f t="shared" si="0"/>
        <v>961</v>
      </c>
      <c r="D46">
        <f t="shared" si="1"/>
        <v>42.464183543804069</v>
      </c>
      <c r="E46">
        <v>0.62542312662117183</v>
      </c>
      <c r="F46">
        <f t="shared" si="7"/>
        <v>86.243802407286097</v>
      </c>
      <c r="H46">
        <f t="shared" si="2"/>
        <v>34.722726880446388</v>
      </c>
      <c r="L46">
        <f t="shared" si="3"/>
        <v>51.521075526839709</v>
      </c>
      <c r="M46">
        <f t="shared" si="4"/>
        <v>2654.4212234423217</v>
      </c>
      <c r="O46" s="4" t="s">
        <v>31</v>
      </c>
      <c r="P46" s="4">
        <v>0.83945504016901551</v>
      </c>
    </row>
    <row r="47" spans="1:23" x14ac:dyDescent="0.45">
      <c r="A47">
        <f t="shared" si="5"/>
        <v>32</v>
      </c>
      <c r="B47">
        <f t="shared" si="6"/>
        <v>32</v>
      </c>
      <c r="C47">
        <f t="shared" si="0"/>
        <v>1024</v>
      </c>
      <c r="D47">
        <f t="shared" si="1"/>
        <v>44.786143185098155</v>
      </c>
      <c r="E47">
        <v>-0.17488332559878472</v>
      </c>
      <c r="F47">
        <f t="shared" si="7"/>
        <v>32.544310393183224</v>
      </c>
      <c r="H47">
        <f t="shared" si="2"/>
        <v>37.118219521979789</v>
      </c>
      <c r="L47">
        <f t="shared" si="3"/>
        <v>-4.573909128796565</v>
      </c>
      <c r="M47">
        <f t="shared" si="4"/>
        <v>20.920644718488553</v>
      </c>
      <c r="O47" s="4" t="s">
        <v>32</v>
      </c>
      <c r="P47" s="4">
        <v>0.83675680555000731</v>
      </c>
    </row>
    <row r="48" spans="1:23" x14ac:dyDescent="0.45">
      <c r="A48">
        <f t="shared" si="5"/>
        <v>33</v>
      </c>
      <c r="B48">
        <f t="shared" si="6"/>
        <v>33</v>
      </c>
      <c r="C48">
        <f t="shared" si="0"/>
        <v>1089</v>
      </c>
      <c r="D48">
        <f t="shared" si="1"/>
        <v>47.174892058821825</v>
      </c>
      <c r="E48">
        <v>0.869238192535704</v>
      </c>
      <c r="F48">
        <f t="shared" si="7"/>
        <v>108.02156553632111</v>
      </c>
      <c r="H48">
        <f t="shared" si="2"/>
        <v>39.578172786033818</v>
      </c>
      <c r="L48">
        <f t="shared" si="3"/>
        <v>68.443392750287288</v>
      </c>
      <c r="M48">
        <f t="shared" si="4"/>
        <v>4684.4980111700788</v>
      </c>
      <c r="O48" s="4" t="s">
        <v>33</v>
      </c>
      <c r="P48" s="4">
        <v>69.342855838851364</v>
      </c>
    </row>
    <row r="49" spans="1:23" ht="14.65" thickBot="1" x14ac:dyDescent="0.5">
      <c r="A49">
        <f t="shared" si="5"/>
        <v>34</v>
      </c>
      <c r="B49">
        <f t="shared" si="6"/>
        <v>34</v>
      </c>
      <c r="C49">
        <f t="shared" si="0"/>
        <v>1156</v>
      </c>
      <c r="D49">
        <f t="shared" si="1"/>
        <v>49.630430164975081</v>
      </c>
      <c r="E49">
        <v>-1.3807266441290267</v>
      </c>
      <c r="F49">
        <f t="shared" si="7"/>
        <v>-47.020434924056786</v>
      </c>
      <c r="H49">
        <f t="shared" si="2"/>
        <v>42.102586672608481</v>
      </c>
      <c r="L49">
        <f t="shared" si="3"/>
        <v>-89.123021596665268</v>
      </c>
      <c r="M49">
        <f t="shared" si="4"/>
        <v>7942.9129785196637</v>
      </c>
      <c r="O49" s="5" t="s">
        <v>34</v>
      </c>
      <c r="P49" s="5">
        <v>122</v>
      </c>
    </row>
    <row r="50" spans="1:23" x14ac:dyDescent="0.45">
      <c r="A50">
        <f t="shared" si="5"/>
        <v>35</v>
      </c>
      <c r="B50">
        <f t="shared" si="6"/>
        <v>35</v>
      </c>
      <c r="C50">
        <f t="shared" si="0"/>
        <v>1225</v>
      </c>
      <c r="D50">
        <f t="shared" si="1"/>
        <v>52.152757503557908</v>
      </c>
      <c r="E50">
        <v>-1.1983502190560102</v>
      </c>
      <c r="F50">
        <f t="shared" si="7"/>
        <v>-31.73175783036281</v>
      </c>
      <c r="H50">
        <f t="shared" si="2"/>
        <v>44.691461181703772</v>
      </c>
      <c r="L50">
        <f t="shared" si="3"/>
        <v>-76.423219012066582</v>
      </c>
      <c r="M50">
        <f t="shared" si="4"/>
        <v>5840.5084041662949</v>
      </c>
    </row>
    <row r="51" spans="1:23" ht="14.65" thickBot="1" x14ac:dyDescent="0.5">
      <c r="A51">
        <f t="shared" si="5"/>
        <v>36</v>
      </c>
      <c r="B51">
        <f t="shared" si="6"/>
        <v>36</v>
      </c>
      <c r="C51">
        <f t="shared" si="0"/>
        <v>1296</v>
      </c>
      <c r="D51">
        <f t="shared" si="1"/>
        <v>54.741874074570333</v>
      </c>
      <c r="E51">
        <v>0.51285724111949094</v>
      </c>
      <c r="F51">
        <f t="shared" si="7"/>
        <v>90.641880952934699</v>
      </c>
      <c r="H51">
        <f t="shared" si="2"/>
        <v>47.344796313319691</v>
      </c>
      <c r="L51">
        <f t="shared" si="3"/>
        <v>43.297084639615008</v>
      </c>
      <c r="M51">
        <f t="shared" si="4"/>
        <v>1874.637538289986</v>
      </c>
      <c r="O51" t="s">
        <v>35</v>
      </c>
    </row>
    <row r="52" spans="1:23" x14ac:dyDescent="0.45">
      <c r="A52">
        <f t="shared" si="5"/>
        <v>37</v>
      </c>
      <c r="B52">
        <f t="shared" si="6"/>
        <v>37</v>
      </c>
      <c r="C52">
        <f t="shared" si="0"/>
        <v>1369</v>
      </c>
      <c r="D52">
        <f t="shared" si="1"/>
        <v>57.397779878012329</v>
      </c>
      <c r="E52">
        <v>0.41511157178319991</v>
      </c>
      <c r="F52">
        <f t="shared" si="7"/>
        <v>86.455589902836323</v>
      </c>
      <c r="H52">
        <f t="shared" si="2"/>
        <v>50.062592067456237</v>
      </c>
      <c r="L52">
        <f t="shared" si="3"/>
        <v>36.392997835380086</v>
      </c>
      <c r="M52">
        <f t="shared" si="4"/>
        <v>1324.4502914459797</v>
      </c>
      <c r="O52" s="6"/>
      <c r="P52" s="6" t="s">
        <v>40</v>
      </c>
      <c r="Q52" s="6" t="s">
        <v>41</v>
      </c>
      <c r="R52" s="6" t="s">
        <v>42</v>
      </c>
      <c r="S52" s="6" t="s">
        <v>43</v>
      </c>
      <c r="T52" s="6" t="s">
        <v>44</v>
      </c>
    </row>
    <row r="53" spans="1:23" x14ac:dyDescent="0.45">
      <c r="A53">
        <f t="shared" si="5"/>
        <v>38</v>
      </c>
      <c r="B53">
        <f t="shared" si="6"/>
        <v>38</v>
      </c>
      <c r="C53">
        <f t="shared" si="0"/>
        <v>1444</v>
      </c>
      <c r="D53">
        <f t="shared" si="1"/>
        <v>60.120474913883911</v>
      </c>
      <c r="E53">
        <v>1.59223418449983</v>
      </c>
      <c r="F53">
        <f t="shared" si="7"/>
        <v>171.57686782887203</v>
      </c>
      <c r="H53">
        <f t="shared" si="2"/>
        <v>52.844848444113417</v>
      </c>
      <c r="L53">
        <f t="shared" si="3"/>
        <v>118.73201938475862</v>
      </c>
      <c r="M53">
        <f t="shared" si="4"/>
        <v>14097.292427182696</v>
      </c>
      <c r="O53" s="4" t="s">
        <v>36</v>
      </c>
      <c r="P53" s="4">
        <v>2</v>
      </c>
      <c r="Q53" s="4">
        <v>2991928.2484982563</v>
      </c>
      <c r="R53" s="4">
        <v>1495964.1242491282</v>
      </c>
      <c r="S53" s="4">
        <v>311.11269355723971</v>
      </c>
      <c r="T53" s="4">
        <v>5.4075707630158988E-48</v>
      </c>
    </row>
    <row r="54" spans="1:23" x14ac:dyDescent="0.45">
      <c r="A54">
        <f t="shared" si="5"/>
        <v>39</v>
      </c>
      <c r="B54">
        <f t="shared" si="6"/>
        <v>39</v>
      </c>
      <c r="C54">
        <f t="shared" si="0"/>
        <v>1521</v>
      </c>
      <c r="D54">
        <f t="shared" si="1"/>
        <v>62.909959182185077</v>
      </c>
      <c r="E54">
        <v>-0.97775455287774093</v>
      </c>
      <c r="F54">
        <f t="shared" si="7"/>
        <v>-5.5328595192567889</v>
      </c>
      <c r="H54">
        <f t="shared" si="2"/>
        <v>55.691565443291211</v>
      </c>
      <c r="L54">
        <f t="shared" si="3"/>
        <v>-61.224424962547999</v>
      </c>
      <c r="M54">
        <f t="shared" si="4"/>
        <v>3748.4302119946706</v>
      </c>
      <c r="O54" s="4" t="s">
        <v>37</v>
      </c>
      <c r="P54" s="4">
        <v>119</v>
      </c>
      <c r="Q54" s="4">
        <v>572203.36705063912</v>
      </c>
      <c r="R54" s="4">
        <v>4808.4316558877235</v>
      </c>
      <c r="S54" s="4"/>
      <c r="T54" s="4"/>
    </row>
    <row r="55" spans="1:23" ht="14.65" thickBot="1" x14ac:dyDescent="0.5">
      <c r="A55">
        <f t="shared" si="5"/>
        <v>40</v>
      </c>
      <c r="B55">
        <f t="shared" si="6"/>
        <v>40</v>
      </c>
      <c r="C55">
        <f t="shared" si="0"/>
        <v>1600</v>
      </c>
      <c r="D55">
        <f t="shared" si="1"/>
        <v>65.766232682915827</v>
      </c>
      <c r="E55">
        <v>2.0571224013110623</v>
      </c>
      <c r="F55">
        <f t="shared" si="7"/>
        <v>209.76480077469017</v>
      </c>
      <c r="H55">
        <f t="shared" si="2"/>
        <v>58.602743064989646</v>
      </c>
      <c r="L55">
        <f t="shared" si="3"/>
        <v>151.16205770970052</v>
      </c>
      <c r="M55">
        <f t="shared" si="4"/>
        <v>22849.96769103083</v>
      </c>
      <c r="O55" s="5" t="s">
        <v>38</v>
      </c>
      <c r="P55" s="5">
        <v>121</v>
      </c>
      <c r="Q55" s="5">
        <v>3564131.6155488957</v>
      </c>
      <c r="R55" s="5"/>
      <c r="S55" s="5"/>
      <c r="T55" s="5"/>
    </row>
    <row r="56" spans="1:23" ht="14.65" thickBot="1" x14ac:dyDescent="0.5">
      <c r="A56">
        <f t="shared" si="5"/>
        <v>41</v>
      </c>
      <c r="B56">
        <f t="shared" si="6"/>
        <v>41</v>
      </c>
      <c r="C56">
        <f t="shared" si="0"/>
        <v>1681</v>
      </c>
      <c r="D56">
        <f t="shared" si="1"/>
        <v>68.689295416076149</v>
      </c>
      <c r="E56">
        <v>0.12752366274071392</v>
      </c>
      <c r="F56">
        <f t="shared" si="7"/>
        <v>77.615951807926123</v>
      </c>
      <c r="H56">
        <f t="shared" si="2"/>
        <v>61.578381309208702</v>
      </c>
      <c r="L56">
        <f t="shared" si="3"/>
        <v>16.037570498717422</v>
      </c>
      <c r="M56">
        <f t="shared" si="4"/>
        <v>257.20366750133138</v>
      </c>
    </row>
    <row r="57" spans="1:23" x14ac:dyDescent="0.45">
      <c r="A57">
        <f t="shared" si="5"/>
        <v>42</v>
      </c>
      <c r="B57">
        <f t="shared" si="6"/>
        <v>42</v>
      </c>
      <c r="C57">
        <f t="shared" si="0"/>
        <v>1764</v>
      </c>
      <c r="D57">
        <f t="shared" si="1"/>
        <v>71.67914738166607</v>
      </c>
      <c r="E57">
        <v>1.6303374650306068</v>
      </c>
      <c r="F57">
        <f t="shared" si="7"/>
        <v>185.80276993380855</v>
      </c>
      <c r="H57">
        <f t="shared" si="2"/>
        <v>64.618480175948392</v>
      </c>
      <c r="L57">
        <f t="shared" si="3"/>
        <v>121.18428975786016</v>
      </c>
      <c r="M57">
        <f t="shared" si="4"/>
        <v>14685.632084117011</v>
      </c>
      <c r="O57" s="6"/>
      <c r="P57" s="6" t="s">
        <v>45</v>
      </c>
      <c r="Q57" s="6" t="s">
        <v>33</v>
      </c>
      <c r="R57" s="6" t="s">
        <v>46</v>
      </c>
      <c r="S57" s="6" t="s">
        <v>47</v>
      </c>
      <c r="T57" s="6" t="s">
        <v>48</v>
      </c>
      <c r="U57" s="6" t="s">
        <v>49</v>
      </c>
      <c r="V57" s="6" t="s">
        <v>50</v>
      </c>
      <c r="W57" s="6" t="s">
        <v>51</v>
      </c>
    </row>
    <row r="58" spans="1:23" x14ac:dyDescent="0.45">
      <c r="A58">
        <f t="shared" si="5"/>
        <v>43</v>
      </c>
      <c r="B58">
        <f t="shared" si="6"/>
        <v>43</v>
      </c>
      <c r="C58">
        <f t="shared" si="0"/>
        <v>1849</v>
      </c>
      <c r="D58">
        <f t="shared" si="1"/>
        <v>74.735788579685561</v>
      </c>
      <c r="E58">
        <v>-0.17604861568543129</v>
      </c>
      <c r="F58">
        <f t="shared" si="7"/>
        <v>62.412385481705371</v>
      </c>
      <c r="H58">
        <f t="shared" si="2"/>
        <v>67.723039665208702</v>
      </c>
      <c r="L58">
        <f t="shared" si="3"/>
        <v>-5.3106541835033312</v>
      </c>
      <c r="M58">
        <f t="shared" si="4"/>
        <v>28.203047856761433</v>
      </c>
      <c r="O58" s="4" t="s">
        <v>39</v>
      </c>
      <c r="P58" s="4">
        <v>-7.5127617391824799</v>
      </c>
      <c r="Q58" s="4">
        <v>19.147050070414846</v>
      </c>
      <c r="R58" s="4">
        <v>-0.39237176022174086</v>
      </c>
      <c r="S58" s="4">
        <v>0.69548543561629406</v>
      </c>
      <c r="T58" s="4">
        <v>-45.42583321812581</v>
      </c>
      <c r="U58" s="4">
        <v>30.40030973976085</v>
      </c>
      <c r="V58" s="4">
        <v>-45.42583321812581</v>
      </c>
      <c r="W58" s="4">
        <v>30.40030973976085</v>
      </c>
    </row>
    <row r="59" spans="1:23" x14ac:dyDescent="0.45">
      <c r="A59">
        <f t="shared" si="5"/>
        <v>44</v>
      </c>
      <c r="B59">
        <f t="shared" si="6"/>
        <v>44</v>
      </c>
      <c r="C59">
        <f t="shared" si="0"/>
        <v>1936</v>
      </c>
      <c r="D59">
        <f t="shared" si="1"/>
        <v>77.859219010134638</v>
      </c>
      <c r="E59">
        <v>-0.12443933883332647</v>
      </c>
      <c r="F59">
        <f t="shared" si="7"/>
        <v>69.148465291801784</v>
      </c>
      <c r="H59">
        <f t="shared" si="2"/>
        <v>70.892059776989655</v>
      </c>
      <c r="L59">
        <f t="shared" si="3"/>
        <v>-1.7435944851878702</v>
      </c>
      <c r="M59">
        <f t="shared" si="4"/>
        <v>3.0401217287775539</v>
      </c>
      <c r="O59" s="4" t="s">
        <v>52</v>
      </c>
      <c r="P59" s="4">
        <v>0.36281780408637621</v>
      </c>
      <c r="Q59" s="4">
        <v>0.7186333097309977</v>
      </c>
      <c r="R59" s="4">
        <v>0.5048719551034837</v>
      </c>
      <c r="S59" s="4">
        <v>0.61458245887483054</v>
      </c>
      <c r="T59" s="4">
        <v>-1.0601479237298159</v>
      </c>
      <c r="U59" s="4">
        <v>1.7857835319025686</v>
      </c>
      <c r="V59" s="4">
        <v>-1.0601479237298159</v>
      </c>
      <c r="W59" s="4">
        <v>1.7857835319025686</v>
      </c>
    </row>
    <row r="60" spans="1:23" ht="14.65" thickBot="1" x14ac:dyDescent="0.5">
      <c r="A60">
        <f t="shared" si="5"/>
        <v>45</v>
      </c>
      <c r="B60">
        <f t="shared" si="6"/>
        <v>45</v>
      </c>
      <c r="C60">
        <f t="shared" si="0"/>
        <v>2025</v>
      </c>
      <c r="D60">
        <f t="shared" si="1"/>
        <v>81.049438673013299</v>
      </c>
      <c r="E60">
        <v>-1.9759681890718639</v>
      </c>
      <c r="F60">
        <f t="shared" si="7"/>
        <v>-57.268334562017174</v>
      </c>
      <c r="H60">
        <f t="shared" si="2"/>
        <v>74.12554051129122</v>
      </c>
      <c r="L60">
        <f t="shared" si="3"/>
        <v>-131.39387507330838</v>
      </c>
      <c r="M60">
        <f t="shared" si="4"/>
        <v>17264.35040678017</v>
      </c>
      <c r="O60" s="5" t="s">
        <v>58</v>
      </c>
      <c r="P60" s="5">
        <v>3.2246930976930016E-2</v>
      </c>
      <c r="Q60" s="5">
        <v>5.6599338383792807E-3</v>
      </c>
      <c r="R60" s="5">
        <v>5.697404227284026</v>
      </c>
      <c r="S60" s="5">
        <v>8.9675416297518484E-8</v>
      </c>
      <c r="T60" s="5">
        <v>2.1039696682800733E-2</v>
      </c>
      <c r="U60" s="5">
        <v>4.3454165271059303E-2</v>
      </c>
      <c r="V60" s="5">
        <v>2.1039696682800733E-2</v>
      </c>
      <c r="W60" s="5">
        <v>4.3454165271059303E-2</v>
      </c>
    </row>
    <row r="61" spans="1:23" x14ac:dyDescent="0.45">
      <c r="A61">
        <f t="shared" si="5"/>
        <v>46</v>
      </c>
      <c r="B61">
        <f t="shared" si="6"/>
        <v>46</v>
      </c>
      <c r="C61">
        <f t="shared" si="0"/>
        <v>2116</v>
      </c>
      <c r="D61">
        <f t="shared" si="1"/>
        <v>84.306447568321545</v>
      </c>
      <c r="E61">
        <v>0.86611862570862286</v>
      </c>
      <c r="F61">
        <f t="shared" si="7"/>
        <v>144.93475136792514</v>
      </c>
      <c r="H61">
        <f t="shared" si="2"/>
        <v>77.423481868113427</v>
      </c>
      <c r="L61">
        <f t="shared" si="3"/>
        <v>67.511269499811718</v>
      </c>
      <c r="M61">
        <f t="shared" si="4"/>
        <v>4557.7715094762079</v>
      </c>
    </row>
    <row r="62" spans="1:23" x14ac:dyDescent="0.45">
      <c r="A62">
        <f t="shared" si="5"/>
        <v>47</v>
      </c>
      <c r="B62">
        <f t="shared" si="6"/>
        <v>47</v>
      </c>
      <c r="C62">
        <f t="shared" si="0"/>
        <v>2209</v>
      </c>
      <c r="D62">
        <f t="shared" si="1"/>
        <v>87.630245696059376</v>
      </c>
      <c r="E62">
        <v>-0.75486241257749498</v>
      </c>
      <c r="F62">
        <f t="shared" si="7"/>
        <v>34.789876815634727</v>
      </c>
      <c r="H62">
        <f t="shared" si="2"/>
        <v>80.785883847456248</v>
      </c>
      <c r="L62">
        <f t="shared" si="3"/>
        <v>-45.99600703182152</v>
      </c>
      <c r="M62">
        <f t="shared" si="4"/>
        <v>2115.6326628713746</v>
      </c>
    </row>
    <row r="63" spans="1:23" x14ac:dyDescent="0.45">
      <c r="A63">
        <f t="shared" si="5"/>
        <v>48</v>
      </c>
      <c r="B63">
        <f t="shared" si="6"/>
        <v>48</v>
      </c>
      <c r="C63">
        <f t="shared" si="0"/>
        <v>2304</v>
      </c>
      <c r="D63">
        <f t="shared" si="1"/>
        <v>91.020833056226778</v>
      </c>
      <c r="E63">
        <v>-0.41202838474418968</v>
      </c>
      <c r="F63">
        <f t="shared" si="7"/>
        <v>62.1788461241335</v>
      </c>
      <c r="H63">
        <f t="shared" si="2"/>
        <v>84.212746449319695</v>
      </c>
      <c r="L63">
        <f t="shared" si="3"/>
        <v>-22.033900325186195</v>
      </c>
      <c r="M63">
        <f t="shared" si="4"/>
        <v>485.49276354024033</v>
      </c>
    </row>
    <row r="64" spans="1:23" x14ac:dyDescent="0.45">
      <c r="A64">
        <f t="shared" si="5"/>
        <v>49</v>
      </c>
      <c r="B64">
        <f t="shared" si="6"/>
        <v>49</v>
      </c>
      <c r="C64">
        <f t="shared" si="0"/>
        <v>2401</v>
      </c>
      <c r="D64">
        <f t="shared" si="1"/>
        <v>94.478209648823764</v>
      </c>
      <c r="E64">
        <v>-0.31539229894406162</v>
      </c>
      <c r="F64">
        <f t="shared" si="7"/>
        <v>72.400748722739451</v>
      </c>
      <c r="H64">
        <f t="shared" si="2"/>
        <v>87.704069673703785</v>
      </c>
      <c r="L64">
        <f t="shared" si="3"/>
        <v>-15.303320950964334</v>
      </c>
      <c r="M64">
        <f t="shared" si="4"/>
        <v>234.19163212822394</v>
      </c>
    </row>
    <row r="65" spans="1:13" x14ac:dyDescent="0.45">
      <c r="A65">
        <f t="shared" si="5"/>
        <v>50</v>
      </c>
      <c r="B65">
        <f t="shared" si="6"/>
        <v>50</v>
      </c>
      <c r="C65">
        <f t="shared" si="0"/>
        <v>2500</v>
      </c>
      <c r="D65">
        <f t="shared" si="1"/>
        <v>98.002375473850336</v>
      </c>
      <c r="E65">
        <v>-1.0374878911534324</v>
      </c>
      <c r="F65">
        <f t="shared" si="7"/>
        <v>25.378223093110066</v>
      </c>
      <c r="H65">
        <f t="shared" si="2"/>
        <v>91.259853520608502</v>
      </c>
      <c r="L65">
        <f t="shared" si="3"/>
        <v>-65.881630427498436</v>
      </c>
      <c r="M65">
        <f t="shared" si="4"/>
        <v>4340.3892277854875</v>
      </c>
    </row>
    <row r="66" spans="1:13" x14ac:dyDescent="0.45">
      <c r="A66">
        <f t="shared" si="5"/>
        <v>51</v>
      </c>
      <c r="B66">
        <f t="shared" si="6"/>
        <v>51</v>
      </c>
      <c r="C66">
        <f t="shared" si="0"/>
        <v>2601</v>
      </c>
      <c r="D66">
        <f t="shared" si="1"/>
        <v>101.59333053130649</v>
      </c>
      <c r="E66">
        <v>0.27789837986347266</v>
      </c>
      <c r="F66">
        <f t="shared" si="7"/>
        <v>121.04621712174958</v>
      </c>
      <c r="H66">
        <f t="shared" si="2"/>
        <v>94.880097990033846</v>
      </c>
      <c r="L66">
        <f t="shared" si="3"/>
        <v>26.166119131715732</v>
      </c>
      <c r="M66">
        <f t="shared" si="4"/>
        <v>684.66579041514001</v>
      </c>
    </row>
    <row r="67" spans="1:13" x14ac:dyDescent="0.45">
      <c r="A67">
        <f t="shared" si="5"/>
        <v>52</v>
      </c>
      <c r="B67">
        <f t="shared" si="6"/>
        <v>52</v>
      </c>
      <c r="C67">
        <f t="shared" si="0"/>
        <v>2704</v>
      </c>
      <c r="D67">
        <f t="shared" si="1"/>
        <v>105.25107482119225</v>
      </c>
      <c r="E67">
        <v>-1.2070222510374151</v>
      </c>
      <c r="F67">
        <f t="shared" si="7"/>
        <v>20.759517248573189</v>
      </c>
      <c r="H67">
        <f t="shared" si="2"/>
        <v>98.564803081979804</v>
      </c>
      <c r="L67">
        <f t="shared" si="3"/>
        <v>-77.805285833406614</v>
      </c>
      <c r="M67">
        <f t="shared" si="4"/>
        <v>6053.662503618104</v>
      </c>
    </row>
    <row r="68" spans="1:13" x14ac:dyDescent="0.45">
      <c r="A68">
        <f t="shared" si="5"/>
        <v>53</v>
      </c>
      <c r="B68">
        <f t="shared" si="6"/>
        <v>53</v>
      </c>
      <c r="C68">
        <f t="shared" si="0"/>
        <v>2809</v>
      </c>
      <c r="D68">
        <f t="shared" si="1"/>
        <v>108.97560834350756</v>
      </c>
      <c r="E68">
        <v>0.76712467489414848</v>
      </c>
      <c r="F68">
        <f t="shared" si="7"/>
        <v>162.67433558609795</v>
      </c>
      <c r="H68">
        <f t="shared" si="2"/>
        <v>102.3139687964464</v>
      </c>
      <c r="L68">
        <f t="shared" si="3"/>
        <v>60.36036678965155</v>
      </c>
      <c r="M68">
        <f t="shared" si="4"/>
        <v>3643.3738789812696</v>
      </c>
    </row>
    <row r="69" spans="1:13" x14ac:dyDescent="0.45">
      <c r="A69">
        <f t="shared" si="5"/>
        <v>54</v>
      </c>
      <c r="B69">
        <f t="shared" si="6"/>
        <v>54</v>
      </c>
      <c r="C69">
        <f t="shared" si="0"/>
        <v>2916</v>
      </c>
      <c r="D69">
        <f t="shared" si="1"/>
        <v>112.76693109825247</v>
      </c>
      <c r="E69">
        <v>-0.61716491472907364</v>
      </c>
      <c r="F69">
        <f t="shared" si="7"/>
        <v>69.565387067217316</v>
      </c>
      <c r="H69">
        <f t="shared" si="2"/>
        <v>106.12759513343363</v>
      </c>
      <c r="L69">
        <f t="shared" si="3"/>
        <v>-36.562208066216314</v>
      </c>
      <c r="M69">
        <f t="shared" si="4"/>
        <v>1336.7950586772934</v>
      </c>
    </row>
    <row r="70" spans="1:13" x14ac:dyDescent="0.45">
      <c r="A70">
        <f t="shared" si="5"/>
        <v>55</v>
      </c>
      <c r="B70">
        <f t="shared" si="6"/>
        <v>55</v>
      </c>
      <c r="C70">
        <f t="shared" si="0"/>
        <v>3025</v>
      </c>
      <c r="D70">
        <f t="shared" si="1"/>
        <v>116.62504308542695</v>
      </c>
      <c r="E70">
        <v>0.82027213466062676</v>
      </c>
      <c r="F70">
        <f t="shared" si="7"/>
        <v>174.04409251167084</v>
      </c>
      <c r="H70">
        <f t="shared" si="2"/>
        <v>110.00568209294147</v>
      </c>
      <c r="L70">
        <f t="shared" si="3"/>
        <v>64.03841041872937</v>
      </c>
      <c r="M70">
        <f t="shared" si="4"/>
        <v>4100.9180089576266</v>
      </c>
    </row>
    <row r="71" spans="1:13" x14ac:dyDescent="0.45">
      <c r="A71">
        <f t="shared" si="5"/>
        <v>56</v>
      </c>
      <c r="B71">
        <f t="shared" si="6"/>
        <v>56</v>
      </c>
      <c r="C71">
        <f t="shared" si="0"/>
        <v>3136</v>
      </c>
      <c r="D71">
        <f t="shared" si="1"/>
        <v>120.54994430503102</v>
      </c>
      <c r="E71">
        <v>-0.293357516056858</v>
      </c>
      <c r="F71">
        <f t="shared" si="7"/>
        <v>100.01491818105096</v>
      </c>
      <c r="H71">
        <f t="shared" si="2"/>
        <v>113.94822967496997</v>
      </c>
      <c r="L71">
        <f t="shared" si="3"/>
        <v>-13.933311493919007</v>
      </c>
      <c r="M71">
        <f t="shared" si="4"/>
        <v>194.13716918657551</v>
      </c>
    </row>
    <row r="72" spans="1:13" x14ac:dyDescent="0.45">
      <c r="A72">
        <f t="shared" si="5"/>
        <v>57</v>
      </c>
      <c r="B72">
        <f t="shared" si="6"/>
        <v>57</v>
      </c>
      <c r="C72">
        <f t="shared" si="0"/>
        <v>3249</v>
      </c>
      <c r="D72">
        <f t="shared" si="1"/>
        <v>124.54163475706468</v>
      </c>
      <c r="E72">
        <v>-1.0343478606955614</v>
      </c>
      <c r="F72">
        <f t="shared" si="7"/>
        <v>52.137284508375387</v>
      </c>
      <c r="H72">
        <f t="shared" si="2"/>
        <v>117.95523787951907</v>
      </c>
      <c r="L72">
        <f t="shared" si="3"/>
        <v>-65.817953371143687</v>
      </c>
      <c r="M72">
        <f t="shared" si="4"/>
        <v>4332.0029859660444</v>
      </c>
    </row>
    <row r="73" spans="1:13" x14ac:dyDescent="0.45">
      <c r="A73">
        <f t="shared" si="5"/>
        <v>58</v>
      </c>
      <c r="B73">
        <f t="shared" si="6"/>
        <v>58</v>
      </c>
      <c r="C73">
        <f t="shared" si="0"/>
        <v>3364</v>
      </c>
      <c r="D73">
        <f t="shared" si="1"/>
        <v>128.60011444152789</v>
      </c>
      <c r="E73">
        <v>0.31450781534658745</v>
      </c>
      <c r="F73">
        <f t="shared" si="7"/>
        <v>150.61566151578901</v>
      </c>
      <c r="H73">
        <f t="shared" si="2"/>
        <v>122.02670670658881</v>
      </c>
      <c r="L73">
        <f t="shared" si="3"/>
        <v>28.588954809200203</v>
      </c>
      <c r="M73">
        <f t="shared" si="4"/>
        <v>817.32833708249143</v>
      </c>
    </row>
    <row r="74" spans="1:13" x14ac:dyDescent="0.45">
      <c r="A74">
        <f t="shared" si="5"/>
        <v>59</v>
      </c>
      <c r="B74">
        <f t="shared" si="6"/>
        <v>59</v>
      </c>
      <c r="C74">
        <f t="shared" si="0"/>
        <v>3481</v>
      </c>
      <c r="D74">
        <f t="shared" si="1"/>
        <v>132.72538335842071</v>
      </c>
      <c r="E74">
        <v>-0.70532905738218687</v>
      </c>
      <c r="F74">
        <f t="shared" si="7"/>
        <v>83.352349341667633</v>
      </c>
      <c r="H74">
        <f t="shared" si="2"/>
        <v>126.16263615617916</v>
      </c>
      <c r="L74">
        <f t="shared" si="3"/>
        <v>-42.810286814511528</v>
      </c>
      <c r="M74">
        <f t="shared" si="4"/>
        <v>1832.7206571407396</v>
      </c>
    </row>
    <row r="75" spans="1:13" x14ac:dyDescent="0.45">
      <c r="A75">
        <f t="shared" si="5"/>
        <v>60</v>
      </c>
      <c r="B75">
        <f t="shared" si="6"/>
        <v>60</v>
      </c>
      <c r="C75">
        <f t="shared" si="0"/>
        <v>3600</v>
      </c>
      <c r="D75">
        <f t="shared" si="1"/>
        <v>136.91744150774312</v>
      </c>
      <c r="E75">
        <v>0.6473419489338994</v>
      </c>
      <c r="F75">
        <f t="shared" si="7"/>
        <v>182.23137793311608</v>
      </c>
      <c r="H75">
        <f t="shared" si="2"/>
        <v>130.36302622829018</v>
      </c>
      <c r="L75">
        <f t="shared" si="3"/>
        <v>51.868351704825898</v>
      </c>
      <c r="M75">
        <f t="shared" si="4"/>
        <v>2690.3259085755158</v>
      </c>
    </row>
    <row r="76" spans="1:13" x14ac:dyDescent="0.45">
      <c r="A76">
        <f t="shared" si="5"/>
        <v>61</v>
      </c>
      <c r="B76">
        <f t="shared" si="6"/>
        <v>61</v>
      </c>
      <c r="C76">
        <f t="shared" si="0"/>
        <v>3721</v>
      </c>
      <c r="D76">
        <f t="shared" si="1"/>
        <v>141.17628888949508</v>
      </c>
      <c r="E76">
        <v>-0.50180801736132707</v>
      </c>
      <c r="F76">
        <f t="shared" si="7"/>
        <v>106.04972767420219</v>
      </c>
      <c r="H76">
        <f t="shared" si="2"/>
        <v>134.62787692292179</v>
      </c>
      <c r="L76">
        <f t="shared" si="3"/>
        <v>-28.578149248719598</v>
      </c>
      <c r="M76">
        <f t="shared" si="4"/>
        <v>816.71061448209252</v>
      </c>
    </row>
    <row r="77" spans="1:13" x14ac:dyDescent="0.45">
      <c r="A77">
        <f t="shared" si="5"/>
        <v>62</v>
      </c>
      <c r="B77">
        <f t="shared" si="6"/>
        <v>62</v>
      </c>
      <c r="C77">
        <f t="shared" si="0"/>
        <v>3844</v>
      </c>
      <c r="D77">
        <f t="shared" si="1"/>
        <v>145.50192550367666</v>
      </c>
      <c r="E77">
        <v>6.4953837863868102E-2</v>
      </c>
      <c r="F77">
        <f t="shared" si="7"/>
        <v>150.04869415414743</v>
      </c>
      <c r="H77">
        <f t="shared" si="2"/>
        <v>138.95718824007403</v>
      </c>
      <c r="L77">
        <f t="shared" si="3"/>
        <v>11.091505914073394</v>
      </c>
      <c r="M77">
        <f t="shared" si="4"/>
        <v>123.02150344192509</v>
      </c>
    </row>
    <row r="78" spans="1:13" x14ac:dyDescent="0.45">
      <c r="A78">
        <f t="shared" si="5"/>
        <v>63</v>
      </c>
      <c r="B78">
        <f t="shared" si="6"/>
        <v>63</v>
      </c>
      <c r="C78">
        <f t="shared" si="0"/>
        <v>3969</v>
      </c>
      <c r="D78">
        <f t="shared" si="1"/>
        <v>149.89435135028782</v>
      </c>
      <c r="E78">
        <v>-0.70965143095236272</v>
      </c>
      <c r="F78">
        <f t="shared" si="7"/>
        <v>100.21875118362243</v>
      </c>
      <c r="H78">
        <f t="shared" si="2"/>
        <v>143.35096017974692</v>
      </c>
      <c r="L78">
        <f t="shared" si="3"/>
        <v>-43.13220899612449</v>
      </c>
      <c r="M78">
        <f t="shared" si="4"/>
        <v>1860.3874528853623</v>
      </c>
    </row>
    <row r="79" spans="1:13" x14ac:dyDescent="0.45">
      <c r="A79">
        <f t="shared" si="5"/>
        <v>64</v>
      </c>
      <c r="B79">
        <f t="shared" si="6"/>
        <v>64</v>
      </c>
      <c r="C79">
        <f t="shared" si="0"/>
        <v>4096</v>
      </c>
      <c r="D79">
        <f t="shared" si="1"/>
        <v>154.35356642932854</v>
      </c>
      <c r="E79">
        <v>-1.093908394977916</v>
      </c>
      <c r="F79">
        <f t="shared" si="7"/>
        <v>77.779978780874416</v>
      </c>
      <c r="H79">
        <f t="shared" si="2"/>
        <v>147.80919274194042</v>
      </c>
      <c r="L79">
        <f t="shared" si="3"/>
        <v>-70.029213961066006</v>
      </c>
      <c r="M79">
        <f t="shared" si="4"/>
        <v>4904.090808004762</v>
      </c>
    </row>
    <row r="80" spans="1:13" x14ac:dyDescent="0.45">
      <c r="A80">
        <f t="shared" si="5"/>
        <v>65</v>
      </c>
      <c r="B80">
        <f t="shared" si="6"/>
        <v>65</v>
      </c>
      <c r="C80">
        <f t="shared" si="0"/>
        <v>4225</v>
      </c>
      <c r="D80">
        <f t="shared" si="1"/>
        <v>158.87957074079887</v>
      </c>
      <c r="E80">
        <v>-0.211048245546408</v>
      </c>
      <c r="F80">
        <f t="shared" si="7"/>
        <v>144.10619355255031</v>
      </c>
      <c r="H80">
        <f t="shared" si="2"/>
        <v>152.33188592665454</v>
      </c>
      <c r="L80">
        <f t="shared" si="3"/>
        <v>-8.2256923741042272</v>
      </c>
      <c r="M80">
        <f t="shared" si="4"/>
        <v>67.662015033396443</v>
      </c>
    </row>
    <row r="81" spans="1:13" x14ac:dyDescent="0.45">
      <c r="A81">
        <f t="shared" si="5"/>
        <v>66</v>
      </c>
      <c r="B81">
        <f t="shared" si="6"/>
        <v>66</v>
      </c>
      <c r="C81">
        <f t="shared" ref="C81:C137" si="8">B81^2</f>
        <v>4356</v>
      </c>
      <c r="D81">
        <f t="shared" ref="D81:D137" si="9">$B$12+$C$12*B81+$D$12*C81</f>
        <v>163.47236428469876</v>
      </c>
      <c r="E81">
        <v>1.288310613745125</v>
      </c>
      <c r="F81">
        <f t="shared" ref="F81:F137" si="10">D81+$E$9*E81</f>
        <v>253.65410724685751</v>
      </c>
      <c r="H81">
        <f t="shared" ref="H81:H137" si="11">$G$6+$H$6*B81+$I$6*C81</f>
        <v>156.91903973388932</v>
      </c>
      <c r="L81">
        <f t="shared" ref="L81:L137" si="12">F81-H81</f>
        <v>96.735067512968186</v>
      </c>
      <c r="M81">
        <f t="shared" ref="M81:M137" si="13">L81^2</f>
        <v>9357.6732867385126</v>
      </c>
    </row>
    <row r="82" spans="1:13" x14ac:dyDescent="0.45">
      <c r="A82">
        <f t="shared" ref="A82:A134" si="14">A81+1</f>
        <v>67</v>
      </c>
      <c r="B82">
        <f t="shared" ref="B82:B137" si="15">B81+1</f>
        <v>67</v>
      </c>
      <c r="C82">
        <f t="shared" si="8"/>
        <v>4489</v>
      </c>
      <c r="D82">
        <f t="shared" si="9"/>
        <v>168.13194706102823</v>
      </c>
      <c r="E82">
        <v>-0.6834238774899859</v>
      </c>
      <c r="F82">
        <f t="shared" si="10"/>
        <v>120.29227563672922</v>
      </c>
      <c r="H82">
        <f t="shared" si="11"/>
        <v>161.57065416364472</v>
      </c>
      <c r="L82">
        <f t="shared" si="12"/>
        <v>-41.278378526915503</v>
      </c>
      <c r="M82">
        <f t="shared" si="13"/>
        <v>1703.904533811319</v>
      </c>
    </row>
    <row r="83" spans="1:13" x14ac:dyDescent="0.45">
      <c r="A83">
        <f t="shared" si="14"/>
        <v>68</v>
      </c>
      <c r="B83">
        <f t="shared" si="15"/>
        <v>68</v>
      </c>
      <c r="C83">
        <f t="shared" si="8"/>
        <v>4624</v>
      </c>
      <c r="D83">
        <f t="shared" si="9"/>
        <v>172.85831906978731</v>
      </c>
      <c r="E83">
        <v>-3.0230148695409298</v>
      </c>
      <c r="F83">
        <f t="shared" si="10"/>
        <v>-38.752721798077772</v>
      </c>
      <c r="H83">
        <f t="shared" si="11"/>
        <v>166.28672921592073</v>
      </c>
      <c r="L83">
        <f t="shared" si="12"/>
        <v>-205.0394510139985</v>
      </c>
      <c r="M83">
        <f t="shared" si="13"/>
        <v>42041.176472121893</v>
      </c>
    </row>
    <row r="84" spans="1:13" x14ac:dyDescent="0.45">
      <c r="A84">
        <f t="shared" si="14"/>
        <v>69</v>
      </c>
      <c r="B84">
        <f t="shared" si="15"/>
        <v>69</v>
      </c>
      <c r="C84">
        <f t="shared" si="8"/>
        <v>4761</v>
      </c>
      <c r="D84">
        <f t="shared" si="9"/>
        <v>177.65148031097593</v>
      </c>
      <c r="E84">
        <v>-0.57107399697997607</v>
      </c>
      <c r="F84">
        <f t="shared" si="10"/>
        <v>137.6763005223776</v>
      </c>
      <c r="H84">
        <f t="shared" si="11"/>
        <v>171.06726489071738</v>
      </c>
      <c r="L84">
        <f t="shared" si="12"/>
        <v>-33.39096436833978</v>
      </c>
      <c r="M84">
        <f t="shared" si="13"/>
        <v>1114.9565014477369</v>
      </c>
    </row>
    <row r="85" spans="1:13" x14ac:dyDescent="0.45">
      <c r="A85">
        <f t="shared" si="14"/>
        <v>70</v>
      </c>
      <c r="B85">
        <f t="shared" si="15"/>
        <v>70</v>
      </c>
      <c r="C85">
        <f t="shared" si="8"/>
        <v>4900</v>
      </c>
      <c r="D85">
        <f t="shared" si="9"/>
        <v>182.51143078459415</v>
      </c>
      <c r="E85">
        <v>9.2272784968372434E-2</v>
      </c>
      <c r="F85">
        <f t="shared" si="10"/>
        <v>188.97052573238022</v>
      </c>
      <c r="H85">
        <f t="shared" si="11"/>
        <v>175.91226118803465</v>
      </c>
      <c r="L85">
        <f t="shared" si="12"/>
        <v>13.058264544345576</v>
      </c>
      <c r="M85">
        <f t="shared" si="13"/>
        <v>170.51827291011278</v>
      </c>
    </row>
    <row r="86" spans="1:13" x14ac:dyDescent="0.45">
      <c r="A86">
        <f t="shared" si="14"/>
        <v>71</v>
      </c>
      <c r="B86">
        <f t="shared" si="15"/>
        <v>71</v>
      </c>
      <c r="C86">
        <f t="shared" si="8"/>
        <v>5041</v>
      </c>
      <c r="D86">
        <f t="shared" si="9"/>
        <v>187.43817049064197</v>
      </c>
      <c r="E86">
        <v>0.73267074185423553</v>
      </c>
      <c r="F86">
        <f t="shared" si="10"/>
        <v>238.72512242043845</v>
      </c>
      <c r="H86">
        <f t="shared" si="11"/>
        <v>180.82171810787256</v>
      </c>
      <c r="L86">
        <f t="shared" si="12"/>
        <v>57.903404312565897</v>
      </c>
      <c r="M86">
        <f t="shared" si="13"/>
        <v>3352.804230984475</v>
      </c>
    </row>
    <row r="87" spans="1:13" x14ac:dyDescent="0.45">
      <c r="A87">
        <f t="shared" si="14"/>
        <v>72</v>
      </c>
      <c r="B87">
        <f t="shared" si="15"/>
        <v>72</v>
      </c>
      <c r="C87">
        <f t="shared" si="8"/>
        <v>5184</v>
      </c>
      <c r="D87">
        <f t="shared" si="9"/>
        <v>192.43169942911936</v>
      </c>
      <c r="E87">
        <v>0.60490265241242014</v>
      </c>
      <c r="F87">
        <f t="shared" si="10"/>
        <v>234.77488509798877</v>
      </c>
      <c r="H87">
        <f t="shared" si="11"/>
        <v>185.79563565023108</v>
      </c>
      <c r="L87">
        <f t="shared" si="12"/>
        <v>48.979249447757695</v>
      </c>
      <c r="M87">
        <f t="shared" si="13"/>
        <v>2398.9668764656726</v>
      </c>
    </row>
    <row r="88" spans="1:13" x14ac:dyDescent="0.45">
      <c r="A88">
        <f t="shared" si="14"/>
        <v>73</v>
      </c>
      <c r="B88">
        <f t="shared" si="15"/>
        <v>73</v>
      </c>
      <c r="C88">
        <f t="shared" si="8"/>
        <v>5329</v>
      </c>
      <c r="D88">
        <f t="shared" si="9"/>
        <v>197.49201760002632</v>
      </c>
      <c r="E88">
        <v>5.5298414736171253E-2</v>
      </c>
      <c r="F88">
        <f t="shared" si="10"/>
        <v>201.3629066315583</v>
      </c>
      <c r="H88">
        <f t="shared" si="11"/>
        <v>190.83401381511027</v>
      </c>
      <c r="L88">
        <f t="shared" si="12"/>
        <v>10.528892816448035</v>
      </c>
      <c r="M88">
        <f t="shared" si="13"/>
        <v>110.85758394025105</v>
      </c>
    </row>
    <row r="89" spans="1:13" x14ac:dyDescent="0.45">
      <c r="A89">
        <f t="shared" si="14"/>
        <v>74</v>
      </c>
      <c r="B89">
        <f t="shared" si="15"/>
        <v>74</v>
      </c>
      <c r="C89">
        <f t="shared" si="8"/>
        <v>5476</v>
      </c>
      <c r="D89">
        <f t="shared" si="9"/>
        <v>202.61912500336288</v>
      </c>
      <c r="E89">
        <v>0.59409785535535775</v>
      </c>
      <c r="F89">
        <f t="shared" si="10"/>
        <v>244.20597487823792</v>
      </c>
      <c r="H89">
        <f t="shared" si="11"/>
        <v>195.93685260251004</v>
      </c>
      <c r="L89">
        <f t="shared" si="12"/>
        <v>48.269122275727881</v>
      </c>
      <c r="M89">
        <f t="shared" si="13"/>
        <v>2329.9081652691693</v>
      </c>
    </row>
    <row r="90" spans="1:13" x14ac:dyDescent="0.45">
      <c r="A90">
        <f t="shared" si="14"/>
        <v>75</v>
      </c>
      <c r="B90">
        <f t="shared" si="15"/>
        <v>75</v>
      </c>
      <c r="C90">
        <f t="shared" si="8"/>
        <v>5625</v>
      </c>
      <c r="D90">
        <f t="shared" si="9"/>
        <v>207.81302163912903</v>
      </c>
      <c r="E90">
        <v>-1.6245849110418931</v>
      </c>
      <c r="F90">
        <f t="shared" si="10"/>
        <v>94.092077866196519</v>
      </c>
      <c r="H90">
        <f t="shared" si="11"/>
        <v>201.10415201243043</v>
      </c>
      <c r="L90">
        <f t="shared" si="12"/>
        <v>-107.01207414623391</v>
      </c>
      <c r="M90">
        <f t="shared" si="13"/>
        <v>11451.584013079066</v>
      </c>
    </row>
    <row r="91" spans="1:13" x14ac:dyDescent="0.45">
      <c r="A91">
        <f t="shared" si="14"/>
        <v>76</v>
      </c>
      <c r="B91">
        <f t="shared" si="15"/>
        <v>76</v>
      </c>
      <c r="C91">
        <f t="shared" si="8"/>
        <v>5776</v>
      </c>
      <c r="D91">
        <f t="shared" si="9"/>
        <v>213.07370750732474</v>
      </c>
      <c r="E91">
        <v>0.50641119742067531</v>
      </c>
      <c r="F91">
        <f t="shared" si="10"/>
        <v>248.52249132677201</v>
      </c>
      <c r="H91">
        <f t="shared" si="11"/>
        <v>206.33591204487152</v>
      </c>
      <c r="L91">
        <f t="shared" si="12"/>
        <v>42.186579281900492</v>
      </c>
      <c r="M91">
        <f t="shared" si="13"/>
        <v>1779.707471508076</v>
      </c>
    </row>
    <row r="92" spans="1:13" x14ac:dyDescent="0.45">
      <c r="A92">
        <f t="shared" si="14"/>
        <v>77</v>
      </c>
      <c r="B92">
        <f t="shared" si="15"/>
        <v>77</v>
      </c>
      <c r="C92">
        <f t="shared" si="8"/>
        <v>5929</v>
      </c>
      <c r="D92">
        <f t="shared" si="9"/>
        <v>218.40118260795006</v>
      </c>
      <c r="E92">
        <v>-1.2411646821419708</v>
      </c>
      <c r="F92">
        <f t="shared" si="10"/>
        <v>131.5196548580121</v>
      </c>
      <c r="H92">
        <f t="shared" si="11"/>
        <v>211.63213269983316</v>
      </c>
      <c r="L92">
        <f t="shared" si="12"/>
        <v>-80.112477841821061</v>
      </c>
      <c r="M92">
        <f t="shared" si="13"/>
        <v>6418.0091059562701</v>
      </c>
    </row>
    <row r="93" spans="1:13" x14ac:dyDescent="0.45">
      <c r="A93">
        <f t="shared" si="14"/>
        <v>78</v>
      </c>
      <c r="B93">
        <f t="shared" si="15"/>
        <v>78</v>
      </c>
      <c r="C93">
        <f t="shared" si="8"/>
        <v>6084</v>
      </c>
      <c r="D93">
        <f t="shared" si="9"/>
        <v>223.79544694100491</v>
      </c>
      <c r="E93">
        <v>0.51539018386392854</v>
      </c>
      <c r="F93">
        <f t="shared" si="10"/>
        <v>259.87275981147991</v>
      </c>
      <c r="H93">
        <f t="shared" si="11"/>
        <v>216.99281397731545</v>
      </c>
      <c r="L93">
        <f t="shared" si="12"/>
        <v>42.879945834164459</v>
      </c>
      <c r="M93">
        <f t="shared" si="13"/>
        <v>1838.689754740878</v>
      </c>
    </row>
    <row r="94" spans="1:13" x14ac:dyDescent="0.45">
      <c r="A94">
        <f t="shared" si="14"/>
        <v>79</v>
      </c>
      <c r="B94">
        <f t="shared" si="15"/>
        <v>79</v>
      </c>
      <c r="C94">
        <f t="shared" si="8"/>
        <v>6241</v>
      </c>
      <c r="D94">
        <f t="shared" si="9"/>
        <v>229.2565005064894</v>
      </c>
      <c r="E94">
        <v>-0.24938344722613692</v>
      </c>
      <c r="F94">
        <f t="shared" si="10"/>
        <v>211.79965920065982</v>
      </c>
      <c r="H94">
        <f t="shared" si="11"/>
        <v>222.41795587731841</v>
      </c>
      <c r="L94">
        <f t="shared" si="12"/>
        <v>-10.618296676658588</v>
      </c>
      <c r="M94">
        <f t="shared" si="13"/>
        <v>112.74822431353881</v>
      </c>
    </row>
    <row r="95" spans="1:13" x14ac:dyDescent="0.45">
      <c r="A95">
        <f t="shared" si="14"/>
        <v>80</v>
      </c>
      <c r="B95">
        <f t="shared" si="15"/>
        <v>80</v>
      </c>
      <c r="C95">
        <f t="shared" si="8"/>
        <v>6400</v>
      </c>
      <c r="D95">
        <f t="shared" si="9"/>
        <v>234.78434330440348</v>
      </c>
      <c r="E95">
        <v>-6.4417235989822075E-2</v>
      </c>
      <c r="F95">
        <f t="shared" si="10"/>
        <v>230.27513678511593</v>
      </c>
      <c r="H95">
        <f t="shared" si="11"/>
        <v>227.90755839984195</v>
      </c>
      <c r="L95">
        <f t="shared" si="12"/>
        <v>2.3675783852739869</v>
      </c>
      <c r="M95">
        <f t="shared" si="13"/>
        <v>5.6054274104165795</v>
      </c>
    </row>
    <row r="96" spans="1:13" x14ac:dyDescent="0.45">
      <c r="A96">
        <f t="shared" si="14"/>
        <v>81</v>
      </c>
      <c r="B96">
        <f t="shared" si="15"/>
        <v>81</v>
      </c>
      <c r="C96">
        <f t="shared" si="8"/>
        <v>6561</v>
      </c>
      <c r="D96">
        <f t="shared" si="9"/>
        <v>240.37897533474708</v>
      </c>
      <c r="E96">
        <v>-0.31933382160787005</v>
      </c>
      <c r="F96">
        <f t="shared" si="10"/>
        <v>218.02560782219618</v>
      </c>
      <c r="H96">
        <f t="shared" si="11"/>
        <v>233.46162154488613</v>
      </c>
      <c r="L96">
        <f t="shared" si="12"/>
        <v>-15.43601372268995</v>
      </c>
      <c r="M96">
        <f t="shared" si="13"/>
        <v>238.27051964707243</v>
      </c>
    </row>
    <row r="97" spans="1:13" x14ac:dyDescent="0.45">
      <c r="A97">
        <f t="shared" si="14"/>
        <v>82</v>
      </c>
      <c r="B97">
        <f t="shared" si="15"/>
        <v>82</v>
      </c>
      <c r="C97">
        <f t="shared" si="8"/>
        <v>6724</v>
      </c>
      <c r="D97">
        <f t="shared" si="9"/>
        <v>246.0403965975203</v>
      </c>
      <c r="E97">
        <v>0.77041477197781205</v>
      </c>
      <c r="F97">
        <f t="shared" si="10"/>
        <v>299.96943063596711</v>
      </c>
      <c r="H97">
        <f t="shared" si="11"/>
        <v>239.08014531245095</v>
      </c>
      <c r="L97">
        <f t="shared" si="12"/>
        <v>60.889285323516162</v>
      </c>
      <c r="M97">
        <f t="shared" si="13"/>
        <v>3707.5050672085608</v>
      </c>
    </row>
    <row r="98" spans="1:13" x14ac:dyDescent="0.45">
      <c r="A98">
        <f t="shared" si="14"/>
        <v>83</v>
      </c>
      <c r="B98">
        <f t="shared" si="15"/>
        <v>83</v>
      </c>
      <c r="C98">
        <f t="shared" si="8"/>
        <v>6889</v>
      </c>
      <c r="D98">
        <f t="shared" si="9"/>
        <v>251.7686070927231</v>
      </c>
      <c r="E98">
        <v>-0.35806124287773855</v>
      </c>
      <c r="F98">
        <f t="shared" si="10"/>
        <v>226.7043200912814</v>
      </c>
      <c r="H98">
        <f t="shared" si="11"/>
        <v>244.76312970253639</v>
      </c>
      <c r="L98">
        <f t="shared" si="12"/>
        <v>-18.058809611254986</v>
      </c>
      <c r="M98">
        <f t="shared" si="13"/>
        <v>326.12060457555549</v>
      </c>
    </row>
    <row r="99" spans="1:13" x14ac:dyDescent="0.45">
      <c r="A99">
        <f t="shared" si="14"/>
        <v>84</v>
      </c>
      <c r="B99">
        <f t="shared" si="15"/>
        <v>84</v>
      </c>
      <c r="C99">
        <f t="shared" si="8"/>
        <v>7056</v>
      </c>
      <c r="D99">
        <f t="shared" si="9"/>
        <v>257.56360682035546</v>
      </c>
      <c r="E99">
        <v>-0.26599082048051059</v>
      </c>
      <c r="F99">
        <f t="shared" si="10"/>
        <v>238.94424938671972</v>
      </c>
      <c r="H99">
        <f t="shared" si="11"/>
        <v>250.51057471514247</v>
      </c>
      <c r="L99">
        <f t="shared" si="12"/>
        <v>-11.566325328422749</v>
      </c>
      <c r="M99">
        <f t="shared" si="13"/>
        <v>133.77988160291363</v>
      </c>
    </row>
    <row r="100" spans="1:13" x14ac:dyDescent="0.45">
      <c r="A100">
        <f t="shared" si="14"/>
        <v>85</v>
      </c>
      <c r="B100">
        <f t="shared" si="15"/>
        <v>85</v>
      </c>
      <c r="C100">
        <f t="shared" si="8"/>
        <v>7225</v>
      </c>
      <c r="D100">
        <f t="shared" si="9"/>
        <v>263.42539578041743</v>
      </c>
      <c r="E100">
        <v>1.9451272237347439</v>
      </c>
      <c r="F100">
        <f t="shared" si="10"/>
        <v>399.5843014418495</v>
      </c>
      <c r="H100">
        <f t="shared" si="11"/>
        <v>256.32248035026913</v>
      </c>
      <c r="L100">
        <f t="shared" si="12"/>
        <v>143.26182109158037</v>
      </c>
      <c r="M100">
        <f t="shared" si="13"/>
        <v>20523.949382475985</v>
      </c>
    </row>
    <row r="101" spans="1:13" x14ac:dyDescent="0.45">
      <c r="A101">
        <f t="shared" si="14"/>
        <v>86</v>
      </c>
      <c r="B101">
        <f t="shared" si="15"/>
        <v>86</v>
      </c>
      <c r="C101">
        <f t="shared" si="8"/>
        <v>7396</v>
      </c>
      <c r="D101">
        <f t="shared" si="9"/>
        <v>269.35397397290899</v>
      </c>
      <c r="E101">
        <v>0.35904008655052166</v>
      </c>
      <c r="F101">
        <f t="shared" si="10"/>
        <v>294.48678003144551</v>
      </c>
      <c r="H101">
        <f t="shared" si="11"/>
        <v>262.19884660791649</v>
      </c>
      <c r="L101">
        <f t="shared" si="12"/>
        <v>32.287933423529012</v>
      </c>
      <c r="M101">
        <f t="shared" si="13"/>
        <v>1042.5106447622418</v>
      </c>
    </row>
    <row r="102" spans="1:13" x14ac:dyDescent="0.45">
      <c r="A102">
        <f t="shared" si="14"/>
        <v>87</v>
      </c>
      <c r="B102">
        <f t="shared" si="15"/>
        <v>87</v>
      </c>
      <c r="C102">
        <f t="shared" si="8"/>
        <v>7569</v>
      </c>
      <c r="D102">
        <f t="shared" si="9"/>
        <v>275.34934139783013</v>
      </c>
      <c r="E102">
        <v>0.17395109352946747</v>
      </c>
      <c r="F102">
        <f t="shared" si="10"/>
        <v>287.52591794489285</v>
      </c>
      <c r="H102">
        <f t="shared" si="11"/>
        <v>268.13967348808444</v>
      </c>
      <c r="L102">
        <f t="shared" si="12"/>
        <v>19.386244456808413</v>
      </c>
      <c r="M102">
        <f t="shared" si="13"/>
        <v>375.82647413913492</v>
      </c>
    </row>
    <row r="103" spans="1:13" x14ac:dyDescent="0.45">
      <c r="A103">
        <f t="shared" si="14"/>
        <v>88</v>
      </c>
      <c r="B103">
        <f t="shared" si="15"/>
        <v>88</v>
      </c>
      <c r="C103">
        <f t="shared" si="8"/>
        <v>7744</v>
      </c>
      <c r="D103">
        <f t="shared" si="9"/>
        <v>281.41149805518086</v>
      </c>
      <c r="E103">
        <v>-1.327534846495837</v>
      </c>
      <c r="F103">
        <f t="shared" si="10"/>
        <v>188.48405880047227</v>
      </c>
      <c r="H103">
        <f t="shared" si="11"/>
        <v>274.14496099077303</v>
      </c>
      <c r="L103">
        <f t="shared" si="12"/>
        <v>-85.66090219030076</v>
      </c>
      <c r="M103">
        <f t="shared" si="13"/>
        <v>7337.7901640562732</v>
      </c>
    </row>
    <row r="104" spans="1:13" x14ac:dyDescent="0.45">
      <c r="A104">
        <f t="shared" si="14"/>
        <v>89</v>
      </c>
      <c r="B104">
        <f t="shared" si="15"/>
        <v>89</v>
      </c>
      <c r="C104">
        <f t="shared" si="8"/>
        <v>7921</v>
      </c>
      <c r="D104">
        <f t="shared" si="9"/>
        <v>287.54044394496111</v>
      </c>
      <c r="E104">
        <v>0.91514039013418369</v>
      </c>
      <c r="F104">
        <f t="shared" si="10"/>
        <v>351.60027125435397</v>
      </c>
      <c r="H104">
        <f t="shared" si="11"/>
        <v>280.2147091159822</v>
      </c>
      <c r="L104">
        <f t="shared" si="12"/>
        <v>71.385562138371768</v>
      </c>
      <c r="M104">
        <f t="shared" si="13"/>
        <v>5095.8984818113368</v>
      </c>
    </row>
    <row r="105" spans="1:13" x14ac:dyDescent="0.45">
      <c r="A105">
        <f t="shared" si="14"/>
        <v>90</v>
      </c>
      <c r="B105">
        <f t="shared" si="15"/>
        <v>90</v>
      </c>
      <c r="C105">
        <f t="shared" si="8"/>
        <v>8100</v>
      </c>
      <c r="D105">
        <f t="shared" si="9"/>
        <v>293.73617906717101</v>
      </c>
      <c r="E105">
        <v>0.16890453480300494</v>
      </c>
      <c r="F105">
        <f t="shared" si="10"/>
        <v>305.55949650338135</v>
      </c>
      <c r="H105">
        <f t="shared" si="11"/>
        <v>286.34891786371207</v>
      </c>
      <c r="L105">
        <f t="shared" si="12"/>
        <v>19.210578639669279</v>
      </c>
      <c r="M105">
        <f t="shared" si="13"/>
        <v>369.0463316709176</v>
      </c>
    </row>
    <row r="106" spans="1:13" x14ac:dyDescent="0.45">
      <c r="A106">
        <f t="shared" si="14"/>
        <v>91</v>
      </c>
      <c r="B106">
        <f t="shared" si="15"/>
        <v>91</v>
      </c>
      <c r="C106">
        <f t="shared" si="8"/>
        <v>8281</v>
      </c>
      <c r="D106">
        <f t="shared" si="9"/>
        <v>299.99870342181049</v>
      </c>
      <c r="E106">
        <v>0.1744172095641261</v>
      </c>
      <c r="F106">
        <f t="shared" si="10"/>
        <v>312.20790809129932</v>
      </c>
      <c r="H106">
        <f t="shared" si="11"/>
        <v>292.54758723396253</v>
      </c>
      <c r="L106">
        <f t="shared" si="12"/>
        <v>19.660320857336785</v>
      </c>
      <c r="M106">
        <f t="shared" si="13"/>
        <v>386.52821621343185</v>
      </c>
    </row>
    <row r="107" spans="1:13" x14ac:dyDescent="0.45">
      <c r="A107">
        <f t="shared" si="14"/>
        <v>92</v>
      </c>
      <c r="B107">
        <f t="shared" si="15"/>
        <v>92</v>
      </c>
      <c r="C107">
        <f t="shared" si="8"/>
        <v>8464</v>
      </c>
      <c r="D107">
        <f t="shared" si="9"/>
        <v>306.3280170088795</v>
      </c>
      <c r="E107">
        <v>-0.74513309300527908</v>
      </c>
      <c r="F107">
        <f t="shared" si="10"/>
        <v>254.16870049850996</v>
      </c>
      <c r="H107">
        <f t="shared" si="11"/>
        <v>298.81071722673363</v>
      </c>
      <c r="L107">
        <f t="shared" si="12"/>
        <v>-44.642016728223666</v>
      </c>
      <c r="M107">
        <f t="shared" si="13"/>
        <v>1992.9096575630017</v>
      </c>
    </row>
    <row r="108" spans="1:13" x14ac:dyDescent="0.45">
      <c r="A108">
        <f t="shared" si="14"/>
        <v>93</v>
      </c>
      <c r="B108">
        <f t="shared" si="15"/>
        <v>93</v>
      </c>
      <c r="C108">
        <f t="shared" si="8"/>
        <v>8649</v>
      </c>
      <c r="D108">
        <f t="shared" si="9"/>
        <v>312.72411982837815</v>
      </c>
      <c r="E108">
        <v>0.17006868802127428</v>
      </c>
      <c r="F108">
        <f t="shared" si="10"/>
        <v>324.62892798986735</v>
      </c>
      <c r="H108">
        <f t="shared" si="11"/>
        <v>305.13830784202537</v>
      </c>
      <c r="L108">
        <f t="shared" si="12"/>
        <v>19.49062014784198</v>
      </c>
      <c r="M108">
        <f t="shared" si="13"/>
        <v>379.88427374746374</v>
      </c>
    </row>
    <row r="109" spans="1:13" x14ac:dyDescent="0.45">
      <c r="A109">
        <f t="shared" si="14"/>
        <v>94</v>
      </c>
      <c r="B109">
        <f t="shared" si="15"/>
        <v>94</v>
      </c>
      <c r="C109">
        <f t="shared" si="8"/>
        <v>8836</v>
      </c>
      <c r="D109">
        <f t="shared" si="9"/>
        <v>319.18701188030633</v>
      </c>
      <c r="E109">
        <v>-0.97381416708230972</v>
      </c>
      <c r="F109">
        <f t="shared" si="10"/>
        <v>251.02002018454465</v>
      </c>
      <c r="H109">
        <f t="shared" si="11"/>
        <v>311.53035907983769</v>
      </c>
      <c r="L109">
        <f t="shared" si="12"/>
        <v>-60.510338895293046</v>
      </c>
      <c r="M109">
        <f t="shared" si="13"/>
        <v>3661.5011132232144</v>
      </c>
    </row>
    <row r="110" spans="1:13" x14ac:dyDescent="0.45">
      <c r="A110">
        <f t="shared" si="14"/>
        <v>95</v>
      </c>
      <c r="B110">
        <f t="shared" si="15"/>
        <v>95</v>
      </c>
      <c r="C110">
        <f t="shared" si="8"/>
        <v>9025</v>
      </c>
      <c r="D110">
        <f t="shared" si="9"/>
        <v>325.71669316466415</v>
      </c>
      <c r="E110">
        <v>-0.43159502638445701</v>
      </c>
      <c r="F110">
        <f t="shared" si="10"/>
        <v>295.50504131775216</v>
      </c>
      <c r="H110">
        <f t="shared" si="11"/>
        <v>317.98687094017066</v>
      </c>
      <c r="L110">
        <f t="shared" si="12"/>
        <v>-22.481829622418502</v>
      </c>
      <c r="M110">
        <f t="shared" si="13"/>
        <v>505.43266317145407</v>
      </c>
    </row>
    <row r="111" spans="1:13" x14ac:dyDescent="0.45">
      <c r="A111">
        <f t="shared" si="14"/>
        <v>96</v>
      </c>
      <c r="B111">
        <f t="shared" si="15"/>
        <v>96</v>
      </c>
      <c r="C111">
        <f t="shared" si="8"/>
        <v>9216</v>
      </c>
      <c r="D111">
        <f t="shared" si="9"/>
        <v>332.3131636814515</v>
      </c>
      <c r="E111">
        <v>-1.997432264033705</v>
      </c>
      <c r="F111">
        <f t="shared" si="10"/>
        <v>192.49290519909215</v>
      </c>
      <c r="H111">
        <f t="shared" si="11"/>
        <v>324.50784342302427</v>
      </c>
      <c r="L111">
        <f t="shared" si="12"/>
        <v>-132.01493822393212</v>
      </c>
      <c r="M111">
        <f t="shared" si="13"/>
        <v>17427.943914268613</v>
      </c>
    </row>
    <row r="112" spans="1:13" x14ac:dyDescent="0.45">
      <c r="A112">
        <f t="shared" si="14"/>
        <v>97</v>
      </c>
      <c r="B112">
        <f t="shared" si="15"/>
        <v>97</v>
      </c>
      <c r="C112">
        <f t="shared" si="8"/>
        <v>9409</v>
      </c>
      <c r="D112">
        <f t="shared" si="9"/>
        <v>338.97642343066849</v>
      </c>
      <c r="E112">
        <v>0.37204358704912011</v>
      </c>
      <c r="F112">
        <f t="shared" si="10"/>
        <v>365.0194745241069</v>
      </c>
      <c r="H112">
        <f t="shared" si="11"/>
        <v>331.09327652839852</v>
      </c>
      <c r="L112">
        <f t="shared" si="12"/>
        <v>33.926197995708378</v>
      </c>
      <c r="M112">
        <f t="shared" si="13"/>
        <v>1150.9869104440072</v>
      </c>
    </row>
    <row r="113" spans="1:13" x14ac:dyDescent="0.45">
      <c r="A113">
        <f t="shared" si="14"/>
        <v>98</v>
      </c>
      <c r="B113">
        <f t="shared" si="15"/>
        <v>98</v>
      </c>
      <c r="C113">
        <f t="shared" si="8"/>
        <v>9604</v>
      </c>
      <c r="D113">
        <f t="shared" si="9"/>
        <v>345.70647241231495</v>
      </c>
      <c r="E113">
        <v>-0.29391571843007114</v>
      </c>
      <c r="F113">
        <f t="shared" si="10"/>
        <v>325.13237212220997</v>
      </c>
      <c r="H113">
        <f t="shared" si="11"/>
        <v>337.74317025629335</v>
      </c>
      <c r="L113">
        <f t="shared" si="12"/>
        <v>-12.610798134083382</v>
      </c>
      <c r="M113">
        <f t="shared" si="13"/>
        <v>159.03222957860089</v>
      </c>
    </row>
    <row r="114" spans="1:13" x14ac:dyDescent="0.45">
      <c r="A114">
        <f t="shared" si="14"/>
        <v>99</v>
      </c>
      <c r="B114">
        <f t="shared" si="15"/>
        <v>99</v>
      </c>
      <c r="C114">
        <f t="shared" si="8"/>
        <v>9801</v>
      </c>
      <c r="D114">
        <f t="shared" si="9"/>
        <v>352.50331062639111</v>
      </c>
      <c r="E114">
        <v>0.86111867858562618</v>
      </c>
      <c r="F114">
        <f t="shared" si="10"/>
        <v>412.78161812738495</v>
      </c>
      <c r="H114">
        <f t="shared" si="11"/>
        <v>344.45752460670889</v>
      </c>
      <c r="L114">
        <f t="shared" si="12"/>
        <v>68.324093520676058</v>
      </c>
      <c r="M114">
        <f t="shared" si="13"/>
        <v>4668.1817554220879</v>
      </c>
    </row>
    <row r="115" spans="1:13" x14ac:dyDescent="0.45">
      <c r="A115">
        <f t="shared" si="14"/>
        <v>100</v>
      </c>
      <c r="B115">
        <f t="shared" si="15"/>
        <v>100</v>
      </c>
      <c r="C115">
        <f t="shared" si="8"/>
        <v>10000</v>
      </c>
      <c r="D115">
        <f t="shared" si="9"/>
        <v>359.3669380728968</v>
      </c>
      <c r="E115">
        <v>0.69253474066499621</v>
      </c>
      <c r="F115">
        <f t="shared" si="10"/>
        <v>407.84436991944654</v>
      </c>
      <c r="H115">
        <f t="shared" si="11"/>
        <v>351.236339579645</v>
      </c>
      <c r="L115">
        <f t="shared" si="12"/>
        <v>56.60803033980153</v>
      </c>
      <c r="M115">
        <f t="shared" si="13"/>
        <v>3204.4690989518904</v>
      </c>
    </row>
    <row r="116" spans="1:13" x14ac:dyDescent="0.45">
      <c r="A116">
        <f t="shared" si="14"/>
        <v>101</v>
      </c>
      <c r="B116">
        <f t="shared" si="15"/>
        <v>101</v>
      </c>
      <c r="C116">
        <f t="shared" si="8"/>
        <v>10201</v>
      </c>
      <c r="D116">
        <f t="shared" si="9"/>
        <v>366.29735475183213</v>
      </c>
      <c r="E116">
        <v>-0.32118578019435517</v>
      </c>
      <c r="F116">
        <f t="shared" si="10"/>
        <v>343.81435013822727</v>
      </c>
      <c r="H116">
        <f t="shared" si="11"/>
        <v>358.07961517510171</v>
      </c>
      <c r="L116">
        <f t="shared" si="12"/>
        <v>-14.265265036874439</v>
      </c>
      <c r="M116">
        <f t="shared" si="13"/>
        <v>203.49778657227228</v>
      </c>
    </row>
    <row r="117" spans="1:13" x14ac:dyDescent="0.45">
      <c r="A117">
        <f t="shared" si="14"/>
        <v>102</v>
      </c>
      <c r="B117">
        <f t="shared" si="15"/>
        <v>102</v>
      </c>
      <c r="C117">
        <f t="shared" si="8"/>
        <v>10404</v>
      </c>
      <c r="D117">
        <f t="shared" si="9"/>
        <v>373.29456066319699</v>
      </c>
      <c r="E117">
        <v>-0.56909357226686552</v>
      </c>
      <c r="F117">
        <f t="shared" si="10"/>
        <v>333.4580106045164</v>
      </c>
      <c r="H117">
        <f t="shared" si="11"/>
        <v>364.98735139307911</v>
      </c>
      <c r="L117">
        <f t="shared" si="12"/>
        <v>-31.529340788562706</v>
      </c>
      <c r="M117">
        <f t="shared" si="13"/>
        <v>994.099330561324</v>
      </c>
    </row>
    <row r="118" spans="1:13" x14ac:dyDescent="0.45">
      <c r="A118">
        <f t="shared" si="14"/>
        <v>103</v>
      </c>
      <c r="B118">
        <f t="shared" si="15"/>
        <v>103</v>
      </c>
      <c r="C118">
        <f t="shared" si="8"/>
        <v>10609</v>
      </c>
      <c r="D118">
        <f t="shared" si="9"/>
        <v>380.35855580699149</v>
      </c>
      <c r="E118">
        <v>-0.71972522164287511</v>
      </c>
      <c r="F118">
        <f t="shared" si="10"/>
        <v>329.97779029199023</v>
      </c>
      <c r="H118">
        <f t="shared" si="11"/>
        <v>371.95954823357715</v>
      </c>
      <c r="L118">
        <f t="shared" si="12"/>
        <v>-41.98175794158692</v>
      </c>
      <c r="M118">
        <f t="shared" si="13"/>
        <v>1762.4679998659965</v>
      </c>
    </row>
    <row r="119" spans="1:13" x14ac:dyDescent="0.45">
      <c r="A119">
        <f t="shared" si="14"/>
        <v>104</v>
      </c>
      <c r="B119">
        <f t="shared" si="15"/>
        <v>104</v>
      </c>
      <c r="C119">
        <f t="shared" si="8"/>
        <v>10816</v>
      </c>
      <c r="D119">
        <f t="shared" si="9"/>
        <v>387.48934018321546</v>
      </c>
      <c r="E119">
        <v>1.2433156371116638</v>
      </c>
      <c r="F119">
        <f t="shared" si="10"/>
        <v>474.52143478103193</v>
      </c>
      <c r="H119">
        <f t="shared" si="11"/>
        <v>378.99620569659572</v>
      </c>
      <c r="L119">
        <f t="shared" si="12"/>
        <v>95.525229084436205</v>
      </c>
      <c r="M119">
        <f t="shared" si="13"/>
        <v>9125.0693916340169</v>
      </c>
    </row>
    <row r="120" spans="1:13" x14ac:dyDescent="0.45">
      <c r="A120">
        <f t="shared" si="14"/>
        <v>105</v>
      </c>
      <c r="B120">
        <f t="shared" si="15"/>
        <v>105</v>
      </c>
      <c r="C120">
        <f t="shared" si="8"/>
        <v>11025</v>
      </c>
      <c r="D120">
        <f t="shared" si="9"/>
        <v>394.68691379186907</v>
      </c>
      <c r="E120">
        <v>-0.81162852438865229</v>
      </c>
      <c r="F120">
        <f t="shared" si="10"/>
        <v>337.87291708466341</v>
      </c>
      <c r="H120">
        <f t="shared" si="11"/>
        <v>386.09732378213499</v>
      </c>
      <c r="L120">
        <f t="shared" si="12"/>
        <v>-48.224406697471579</v>
      </c>
      <c r="M120">
        <f t="shared" si="13"/>
        <v>2325.5934013231417</v>
      </c>
    </row>
    <row r="121" spans="1:13" x14ac:dyDescent="0.45">
      <c r="A121">
        <f t="shared" si="14"/>
        <v>106</v>
      </c>
      <c r="B121">
        <f t="shared" si="15"/>
        <v>106</v>
      </c>
      <c r="C121">
        <f t="shared" si="8"/>
        <v>11236</v>
      </c>
      <c r="D121">
        <f t="shared" si="9"/>
        <v>401.95127663295227</v>
      </c>
      <c r="E121">
        <v>-0.14706074580317363</v>
      </c>
      <c r="F121">
        <f t="shared" si="10"/>
        <v>391.65702442673012</v>
      </c>
      <c r="H121">
        <f t="shared" si="11"/>
        <v>393.2629024901949</v>
      </c>
      <c r="L121">
        <f t="shared" si="12"/>
        <v>-1.605878063464786</v>
      </c>
      <c r="M121">
        <f t="shared" si="13"/>
        <v>2.5788443547174111</v>
      </c>
    </row>
    <row r="122" spans="1:13" x14ac:dyDescent="0.45">
      <c r="A122">
        <f t="shared" si="14"/>
        <v>107</v>
      </c>
      <c r="B122">
        <f t="shared" si="15"/>
        <v>107</v>
      </c>
      <c r="C122">
        <f t="shared" si="8"/>
        <v>11449</v>
      </c>
      <c r="D122">
        <f t="shared" si="9"/>
        <v>409.28242870646511</v>
      </c>
      <c r="E122">
        <v>0.20987499738112092</v>
      </c>
      <c r="F122">
        <f t="shared" si="10"/>
        <v>423.97367852314358</v>
      </c>
      <c r="H122">
        <f t="shared" si="11"/>
        <v>400.49294182077546</v>
      </c>
      <c r="L122">
        <f t="shared" si="12"/>
        <v>23.480736702368119</v>
      </c>
      <c r="M122">
        <f t="shared" si="13"/>
        <v>551.34499608593728</v>
      </c>
    </row>
    <row r="123" spans="1:13" x14ac:dyDescent="0.45">
      <c r="A123">
        <f t="shared" si="14"/>
        <v>108</v>
      </c>
      <c r="B123">
        <f t="shared" si="15"/>
        <v>108</v>
      </c>
      <c r="C123">
        <f t="shared" si="8"/>
        <v>11664</v>
      </c>
      <c r="D123">
        <f t="shared" si="9"/>
        <v>416.68037001240742</v>
      </c>
      <c r="E123">
        <v>-3.0705996323376894</v>
      </c>
      <c r="F123">
        <f t="shared" si="10"/>
        <v>201.73839574876916</v>
      </c>
      <c r="H123">
        <f t="shared" si="11"/>
        <v>407.78744177387654</v>
      </c>
      <c r="L123">
        <f t="shared" si="12"/>
        <v>-206.04904602510737</v>
      </c>
      <c r="M123">
        <f t="shared" si="13"/>
        <v>42456.20936785682</v>
      </c>
    </row>
    <row r="124" spans="1:13" x14ac:dyDescent="0.45">
      <c r="A124">
        <f t="shared" si="14"/>
        <v>109</v>
      </c>
      <c r="B124">
        <f t="shared" si="15"/>
        <v>109</v>
      </c>
      <c r="C124">
        <f t="shared" si="8"/>
        <v>11881</v>
      </c>
      <c r="D124">
        <f t="shared" si="9"/>
        <v>424.14510055077938</v>
      </c>
      <c r="E124">
        <v>0.31836862035561353</v>
      </c>
      <c r="F124">
        <f t="shared" si="10"/>
        <v>446.43090397567232</v>
      </c>
      <c r="H124">
        <f t="shared" si="11"/>
        <v>415.14640234949832</v>
      </c>
      <c r="L124">
        <f t="shared" si="12"/>
        <v>31.284501626174006</v>
      </c>
      <c r="M124">
        <f t="shared" si="13"/>
        <v>978.72004199808396</v>
      </c>
    </row>
    <row r="125" spans="1:13" x14ac:dyDescent="0.45">
      <c r="A125">
        <f t="shared" si="14"/>
        <v>110</v>
      </c>
      <c r="B125">
        <f t="shared" si="15"/>
        <v>110</v>
      </c>
      <c r="C125">
        <f t="shared" si="8"/>
        <v>12100</v>
      </c>
      <c r="D125">
        <f t="shared" si="9"/>
        <v>431.67662032158091</v>
      </c>
      <c r="E125">
        <v>-0.24599216885690112</v>
      </c>
      <c r="F125">
        <f t="shared" si="10"/>
        <v>414.45716850159783</v>
      </c>
      <c r="H125">
        <f t="shared" si="11"/>
        <v>422.56982354764068</v>
      </c>
      <c r="L125">
        <f t="shared" si="12"/>
        <v>-8.1126550460428462</v>
      </c>
      <c r="M125">
        <f t="shared" si="13"/>
        <v>65.815171896084451</v>
      </c>
    </row>
    <row r="126" spans="1:13" x14ac:dyDescent="0.45">
      <c r="A126">
        <f t="shared" si="14"/>
        <v>111</v>
      </c>
      <c r="B126">
        <f t="shared" si="15"/>
        <v>111</v>
      </c>
      <c r="C126">
        <f t="shared" si="8"/>
        <v>12321</v>
      </c>
      <c r="D126">
        <f t="shared" si="9"/>
        <v>439.27492932481204</v>
      </c>
      <c r="E126">
        <v>0.74796389526454732</v>
      </c>
      <c r="F126">
        <f t="shared" si="10"/>
        <v>491.63240199333035</v>
      </c>
      <c r="H126">
        <f t="shared" si="11"/>
        <v>430.05770536830374</v>
      </c>
      <c r="L126">
        <f t="shared" si="12"/>
        <v>61.574696625026604</v>
      </c>
      <c r="M126">
        <f t="shared" si="13"/>
        <v>3791.4432644640628</v>
      </c>
    </row>
    <row r="127" spans="1:13" x14ac:dyDescent="0.45">
      <c r="A127">
        <f t="shared" si="14"/>
        <v>112</v>
      </c>
      <c r="B127">
        <f t="shared" si="15"/>
        <v>112</v>
      </c>
      <c r="C127">
        <f t="shared" si="8"/>
        <v>12544</v>
      </c>
      <c r="D127">
        <f t="shared" si="9"/>
        <v>446.94002756047274</v>
      </c>
      <c r="E127">
        <v>-1.3039039004070219</v>
      </c>
      <c r="F127">
        <f t="shared" si="10"/>
        <v>355.66675453198121</v>
      </c>
      <c r="H127">
        <f t="shared" si="11"/>
        <v>437.61004781148745</v>
      </c>
      <c r="L127">
        <f t="shared" si="12"/>
        <v>-81.943293279506236</v>
      </c>
      <c r="M127">
        <f t="shared" si="13"/>
        <v>6714.7033134911717</v>
      </c>
    </row>
    <row r="128" spans="1:13" x14ac:dyDescent="0.45">
      <c r="A128">
        <f t="shared" si="14"/>
        <v>113</v>
      </c>
      <c r="B128">
        <f t="shared" si="15"/>
        <v>113</v>
      </c>
      <c r="C128">
        <f t="shared" si="8"/>
        <v>12769</v>
      </c>
      <c r="D128">
        <f t="shared" si="9"/>
        <v>454.67191502856298</v>
      </c>
      <c r="E128">
        <v>0.50562903197715059</v>
      </c>
      <c r="F128">
        <f t="shared" si="10"/>
        <v>490.06594726696352</v>
      </c>
      <c r="H128">
        <f t="shared" si="11"/>
        <v>445.22685087719174</v>
      </c>
      <c r="L128">
        <f t="shared" si="12"/>
        <v>44.839096389771782</v>
      </c>
      <c r="M128">
        <f t="shared" si="13"/>
        <v>2010.5445650512449</v>
      </c>
    </row>
    <row r="129" spans="1:13" x14ac:dyDescent="0.45">
      <c r="A129">
        <f t="shared" si="14"/>
        <v>114</v>
      </c>
      <c r="B129">
        <f t="shared" si="15"/>
        <v>114</v>
      </c>
      <c r="C129">
        <f t="shared" si="8"/>
        <v>12996</v>
      </c>
      <c r="D129">
        <f t="shared" si="9"/>
        <v>462.47059172908286</v>
      </c>
      <c r="E129">
        <v>-1.2872578736278228</v>
      </c>
      <c r="F129">
        <f t="shared" si="10"/>
        <v>372.36254057513526</v>
      </c>
      <c r="H129">
        <f t="shared" si="11"/>
        <v>452.90811456541661</v>
      </c>
      <c r="L129">
        <f t="shared" si="12"/>
        <v>-80.545573990281355</v>
      </c>
      <c r="M129">
        <f t="shared" si="13"/>
        <v>6487.5894894238882</v>
      </c>
    </row>
    <row r="130" spans="1:13" x14ac:dyDescent="0.45">
      <c r="A130">
        <f t="shared" si="14"/>
        <v>115</v>
      </c>
      <c r="B130">
        <f t="shared" si="15"/>
        <v>115</v>
      </c>
      <c r="C130">
        <f t="shared" si="8"/>
        <v>13225</v>
      </c>
      <c r="D130">
        <f t="shared" si="9"/>
        <v>470.33605766203232</v>
      </c>
      <c r="E130">
        <v>-1.3396356735029258</v>
      </c>
      <c r="F130">
        <f t="shared" si="10"/>
        <v>376.56156051682751</v>
      </c>
      <c r="H130">
        <f t="shared" si="11"/>
        <v>460.65383887616218</v>
      </c>
      <c r="L130">
        <f t="shared" si="12"/>
        <v>-84.092278359334671</v>
      </c>
      <c r="M130">
        <f t="shared" si="13"/>
        <v>7071.5112796638259</v>
      </c>
    </row>
    <row r="131" spans="1:13" x14ac:dyDescent="0.45">
      <c r="A131">
        <f t="shared" si="14"/>
        <v>116</v>
      </c>
      <c r="B131">
        <f t="shared" si="15"/>
        <v>116</v>
      </c>
      <c r="C131">
        <f t="shared" si="8"/>
        <v>13456</v>
      </c>
      <c r="D131">
        <f t="shared" si="9"/>
        <v>478.26831282741131</v>
      </c>
      <c r="E131">
        <v>0.23300231077882927</v>
      </c>
      <c r="F131">
        <f t="shared" si="10"/>
        <v>494.57847458192936</v>
      </c>
      <c r="H131">
        <f t="shared" si="11"/>
        <v>468.46402380942834</v>
      </c>
      <c r="L131">
        <f t="shared" si="12"/>
        <v>26.114450772501016</v>
      </c>
      <c r="M131">
        <f t="shared" si="13"/>
        <v>681.96453914937888</v>
      </c>
    </row>
    <row r="132" spans="1:13" x14ac:dyDescent="0.45">
      <c r="A132">
        <f t="shared" si="14"/>
        <v>117</v>
      </c>
      <c r="B132">
        <f t="shared" si="15"/>
        <v>117</v>
      </c>
      <c r="C132">
        <f t="shared" si="8"/>
        <v>13689</v>
      </c>
      <c r="D132">
        <f t="shared" si="9"/>
        <v>486.26735722521994</v>
      </c>
      <c r="E132">
        <v>1.0915459824900609</v>
      </c>
      <c r="F132">
        <f t="shared" si="10"/>
        <v>562.6755759995242</v>
      </c>
      <c r="H132">
        <f t="shared" si="11"/>
        <v>476.33866936521508</v>
      </c>
      <c r="L132">
        <f t="shared" si="12"/>
        <v>86.336906634309116</v>
      </c>
      <c r="M132">
        <f t="shared" si="13"/>
        <v>7454.0614471814097</v>
      </c>
    </row>
    <row r="133" spans="1:13" x14ac:dyDescent="0.45">
      <c r="A133">
        <f t="shared" si="14"/>
        <v>118</v>
      </c>
      <c r="B133">
        <f t="shared" si="15"/>
        <v>118</v>
      </c>
      <c r="C133">
        <f t="shared" si="8"/>
        <v>13924</v>
      </c>
      <c r="D133">
        <f t="shared" si="9"/>
        <v>494.3331908554581</v>
      </c>
      <c r="E133">
        <v>0.29287775760167278</v>
      </c>
      <c r="F133">
        <f t="shared" si="10"/>
        <v>514.83463388757514</v>
      </c>
      <c r="H133">
        <f t="shared" si="11"/>
        <v>484.27777554352252</v>
      </c>
      <c r="L133">
        <f t="shared" si="12"/>
        <v>30.556858344052614</v>
      </c>
      <c r="M133">
        <f t="shared" si="13"/>
        <v>933.72159185849785</v>
      </c>
    </row>
    <row r="134" spans="1:13" x14ac:dyDescent="0.45">
      <c r="A134">
        <f t="shared" si="14"/>
        <v>119</v>
      </c>
      <c r="B134">
        <f t="shared" si="15"/>
        <v>119</v>
      </c>
      <c r="C134">
        <f t="shared" si="8"/>
        <v>14161</v>
      </c>
      <c r="D134">
        <f t="shared" si="9"/>
        <v>502.4658137181259</v>
      </c>
      <c r="E134">
        <v>-2.6892621463048272E-2</v>
      </c>
      <c r="F134">
        <f t="shared" si="10"/>
        <v>500.58333021571252</v>
      </c>
      <c r="H134">
        <f t="shared" si="11"/>
        <v>492.28134234435061</v>
      </c>
      <c r="L134">
        <f t="shared" si="12"/>
        <v>8.3019878713619164</v>
      </c>
      <c r="M134">
        <f t="shared" si="13"/>
        <v>68.923002616240368</v>
      </c>
    </row>
    <row r="135" spans="1:13" x14ac:dyDescent="0.45">
      <c r="A135">
        <f>A134+1</f>
        <v>120</v>
      </c>
      <c r="B135">
        <f t="shared" si="15"/>
        <v>120</v>
      </c>
      <c r="C135">
        <f t="shared" si="8"/>
        <v>14400</v>
      </c>
      <c r="D135">
        <f t="shared" si="9"/>
        <v>510.66522581322323</v>
      </c>
      <c r="E135">
        <v>-2.1805135475005955E-3</v>
      </c>
      <c r="F135">
        <f t="shared" si="10"/>
        <v>510.51258986489819</v>
      </c>
      <c r="H135">
        <f t="shared" si="11"/>
        <v>500.34936976769927</v>
      </c>
      <c r="L135">
        <f t="shared" si="12"/>
        <v>10.163220097198916</v>
      </c>
      <c r="M135">
        <f t="shared" si="13"/>
        <v>103.29104274410795</v>
      </c>
    </row>
    <row r="136" spans="1:13" x14ac:dyDescent="0.45">
      <c r="A136">
        <f t="shared" ref="A136:A137" si="16">A135+1</f>
        <v>121</v>
      </c>
      <c r="B136">
        <f t="shared" si="15"/>
        <v>121</v>
      </c>
      <c r="C136">
        <f t="shared" si="8"/>
        <v>14641</v>
      </c>
      <c r="D136">
        <f t="shared" si="9"/>
        <v>518.9314271407502</v>
      </c>
      <c r="E136">
        <v>2.2225503926165402</v>
      </c>
      <c r="F136">
        <f t="shared" si="10"/>
        <v>674.50995462390802</v>
      </c>
      <c r="H136">
        <f t="shared" si="11"/>
        <v>508.48185781356858</v>
      </c>
      <c r="L136">
        <f t="shared" si="12"/>
        <v>166.02809681033943</v>
      </c>
      <c r="M136">
        <f t="shared" si="13"/>
        <v>27565.328930463442</v>
      </c>
    </row>
    <row r="137" spans="1:13" x14ac:dyDescent="0.45">
      <c r="A137">
        <f t="shared" si="16"/>
        <v>122</v>
      </c>
      <c r="B137">
        <f t="shared" si="15"/>
        <v>122</v>
      </c>
      <c r="C137">
        <f t="shared" si="8"/>
        <v>14884</v>
      </c>
      <c r="D137">
        <f t="shared" si="9"/>
        <v>527.26441770070664</v>
      </c>
      <c r="E137">
        <v>-0.73507408160367049</v>
      </c>
      <c r="F137">
        <f t="shared" si="10"/>
        <v>475.80923198844971</v>
      </c>
      <c r="H137">
        <f t="shared" si="11"/>
        <v>516.67880648195853</v>
      </c>
      <c r="L137">
        <f t="shared" si="12"/>
        <v>-40.869574493508821</v>
      </c>
      <c r="M137">
        <f t="shared" si="13"/>
        <v>1670.3221192804669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CCEDD-508D-40D9-8539-9381E59C54E8}">
  <dimension ref="A1:Z137"/>
  <sheetViews>
    <sheetView zoomScale="85" zoomScaleNormal="85" workbookViewId="0">
      <selection activeCell="L8" sqref="L8"/>
    </sheetView>
  </sheetViews>
  <sheetFormatPr defaultRowHeight="14.25" x14ac:dyDescent="0.45"/>
  <sheetData>
    <row r="1" spans="1:17" x14ac:dyDescent="0.45">
      <c r="A1" s="1" t="s">
        <v>59</v>
      </c>
      <c r="B1" s="1"/>
      <c r="C1" s="1"/>
      <c r="D1" s="1"/>
      <c r="E1" s="1" t="s">
        <v>1</v>
      </c>
      <c r="F1" s="1"/>
    </row>
    <row r="3" spans="1:17" x14ac:dyDescent="0.45">
      <c r="A3" s="1">
        <v>1</v>
      </c>
      <c r="B3" s="1" t="s">
        <v>2</v>
      </c>
      <c r="C3" s="1"/>
      <c r="D3" s="1"/>
      <c r="E3" s="1"/>
      <c r="G3" s="1">
        <v>5</v>
      </c>
      <c r="H3" s="1" t="s">
        <v>22</v>
      </c>
      <c r="I3" s="1"/>
      <c r="J3" s="1"/>
      <c r="K3" s="1"/>
    </row>
    <row r="4" spans="1:17" x14ac:dyDescent="0.45">
      <c r="A4" s="3" t="s">
        <v>3</v>
      </c>
      <c r="B4" s="3"/>
      <c r="C4" s="3"/>
      <c r="D4" s="3"/>
      <c r="G4" s="3" t="s">
        <v>23</v>
      </c>
      <c r="H4" s="3"/>
      <c r="I4" s="3"/>
      <c r="J4" s="3"/>
      <c r="N4" s="3" t="s">
        <v>24</v>
      </c>
      <c r="O4" s="3"/>
      <c r="P4" s="3"/>
    </row>
    <row r="5" spans="1:17" x14ac:dyDescent="0.45">
      <c r="A5" t="s">
        <v>4</v>
      </c>
      <c r="D5" s="2">
        <v>121.8024231696524</v>
      </c>
      <c r="G5" t="s">
        <v>66</v>
      </c>
      <c r="H5" t="s">
        <v>67</v>
      </c>
      <c r="I5" t="s">
        <v>68</v>
      </c>
      <c r="J5" t="s">
        <v>69</v>
      </c>
      <c r="K5" t="s">
        <v>70</v>
      </c>
      <c r="L5" t="s">
        <v>71</v>
      </c>
      <c r="N5" t="s">
        <v>25</v>
      </c>
      <c r="O5" t="s">
        <v>26</v>
      </c>
    </row>
    <row r="6" spans="1:17" x14ac:dyDescent="0.45">
      <c r="G6">
        <v>-2.5971883629268024</v>
      </c>
      <c r="H6">
        <v>1.1532717094509288</v>
      </c>
      <c r="I6">
        <v>1.1532717094509295</v>
      </c>
      <c r="J6">
        <v>0.45498216907619604</v>
      </c>
      <c r="K6">
        <v>0.45498216907619604</v>
      </c>
      <c r="L6">
        <v>0.45498215776959072</v>
      </c>
      <c r="N6">
        <f>SUM(P16:P137)</f>
        <v>78747.007095973575</v>
      </c>
    </row>
    <row r="7" spans="1:17" x14ac:dyDescent="0.45">
      <c r="A7" s="3" t="s">
        <v>64</v>
      </c>
      <c r="B7" s="3"/>
      <c r="C7" s="3"/>
      <c r="D7" s="3"/>
      <c r="E7" s="3"/>
      <c r="F7" s="3"/>
      <c r="G7" s="3"/>
      <c r="H7" s="3"/>
    </row>
    <row r="8" spans="1:17" x14ac:dyDescent="0.45"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8</v>
      </c>
    </row>
    <row r="9" spans="1:17" x14ac:dyDescent="0.45">
      <c r="A9" t="s">
        <v>9</v>
      </c>
      <c r="B9">
        <v>3</v>
      </c>
      <c r="C9">
        <v>0.3</v>
      </c>
      <c r="D9">
        <v>0.5</v>
      </c>
      <c r="E9">
        <v>0.5</v>
      </c>
      <c r="F9">
        <v>0.5</v>
      </c>
      <c r="G9">
        <v>0.5</v>
      </c>
      <c r="H9">
        <v>25</v>
      </c>
    </row>
    <row r="11" spans="1:17" x14ac:dyDescent="0.45">
      <c r="A11" s="3" t="s">
        <v>10</v>
      </c>
      <c r="B11" s="3"/>
    </row>
    <row r="12" spans="1:17" x14ac:dyDescent="0.45">
      <c r="B12">
        <v>3.6108939487603502</v>
      </c>
      <c r="C12">
        <v>0.218098819762235</v>
      </c>
      <c r="D12">
        <v>0.55657693691318899</v>
      </c>
      <c r="E12">
        <v>0.49982026110956201</v>
      </c>
      <c r="F12">
        <v>0.44327038166375099</v>
      </c>
      <c r="G12">
        <v>0.45188227330800101</v>
      </c>
      <c r="H12">
        <v>26.168547214547299</v>
      </c>
    </row>
    <row r="14" spans="1:17" x14ac:dyDescent="0.45">
      <c r="A14" s="1">
        <v>2</v>
      </c>
      <c r="B14" s="1" t="s">
        <v>11</v>
      </c>
      <c r="C14" s="1"/>
      <c r="D14" s="1"/>
      <c r="E14" s="1"/>
      <c r="K14" s="1">
        <v>3</v>
      </c>
      <c r="L14" s="1" t="s">
        <v>17</v>
      </c>
      <c r="M14" s="1"/>
      <c r="O14" s="1">
        <v>4</v>
      </c>
      <c r="P14" s="1" t="s">
        <v>19</v>
      </c>
      <c r="Q14" s="1"/>
    </row>
    <row r="15" spans="1:17" x14ac:dyDescent="0.45">
      <c r="A15" t="s">
        <v>12</v>
      </c>
      <c r="B15" t="s">
        <v>60</v>
      </c>
      <c r="C15" t="s">
        <v>72</v>
      </c>
      <c r="D15" t="s">
        <v>61</v>
      </c>
      <c r="E15" t="s">
        <v>62</v>
      </c>
      <c r="F15" t="s">
        <v>63</v>
      </c>
      <c r="G15" t="s">
        <v>65</v>
      </c>
      <c r="H15" t="s">
        <v>15</v>
      </c>
      <c r="I15" t="s">
        <v>16</v>
      </c>
      <c r="K15" t="s">
        <v>18</v>
      </c>
      <c r="O15" t="s">
        <v>20</v>
      </c>
      <c r="P15" t="s">
        <v>21</v>
      </c>
    </row>
    <row r="16" spans="1:17" x14ac:dyDescent="0.45">
      <c r="A16">
        <v>1</v>
      </c>
      <c r="B16">
        <v>0</v>
      </c>
      <c r="C16">
        <v>0</v>
      </c>
      <c r="D16">
        <f>B16^2</f>
        <v>0</v>
      </c>
      <c r="E16">
        <f>C16^2</f>
        <v>0</v>
      </c>
      <c r="F16">
        <f>B16*C16</f>
        <v>0</v>
      </c>
      <c r="G16">
        <f>$B$12+$C$12*B16+$D$12*C16+$E$12*D16+$F$12*E16+$G$12*F16</f>
        <v>3.6108939487603502</v>
      </c>
      <c r="H16">
        <v>-1.927182893268764</v>
      </c>
      <c r="I16">
        <f>G16+$H$12*H16</f>
        <v>-46.820682584811173</v>
      </c>
      <c r="K16">
        <f>$G$6+$H$6*B16+$I$6*C16+$J$6*D16+$K$6*E16+$L$6*F16</f>
        <v>-2.5971883629268024</v>
      </c>
      <c r="O16">
        <f>I16-K16</f>
        <v>-44.223494221884373</v>
      </c>
      <c r="P16">
        <f>O16^2</f>
        <v>1955.7174411930405</v>
      </c>
    </row>
    <row r="17" spans="1:23" x14ac:dyDescent="0.45">
      <c r="A17">
        <f>A16+1</f>
        <v>2</v>
      </c>
      <c r="B17">
        <f>B16+0.1</f>
        <v>0.1</v>
      </c>
      <c r="C17">
        <f>C16+0.1</f>
        <v>0.1</v>
      </c>
      <c r="D17">
        <f t="shared" ref="D17:D80" si="0">B17^2</f>
        <v>1.0000000000000002E-2</v>
      </c>
      <c r="E17">
        <f t="shared" ref="E17:E80" si="1">C17^2</f>
        <v>1.0000000000000002E-2</v>
      </c>
      <c r="F17">
        <f t="shared" ref="F17:F80" si="2">B17*C17</f>
        <v>1.0000000000000002E-2</v>
      </c>
      <c r="G17">
        <f t="shared" ref="G17:G80" si="3">$B$12+$C$12*B17+$D$12*C17+$E$12*D17+$F$12*E17+$G$12*F17</f>
        <v>3.7023112535887055</v>
      </c>
      <c r="H17">
        <v>1.458220140193589</v>
      </c>
      <c r="I17">
        <f t="shared" ref="I17:I80" si="4">G17+$H$12*H17</f>
        <v>41.861813841448424</v>
      </c>
      <c r="K17">
        <f t="shared" ref="K17:K80" si="5">$G$6+$H$6*B17+$I$6*C17+$J$6*D17+$K$6*E17+$L$6*F17</f>
        <v>-2.3528845560773965</v>
      </c>
      <c r="O17">
        <f t="shared" ref="O17:O80" si="6">I17-K17</f>
        <v>44.214698397525822</v>
      </c>
      <c r="P17">
        <f t="shared" ref="P17:P80" si="7">O17^2</f>
        <v>1954.9395543841724</v>
      </c>
      <c r="R17" s="1">
        <v>6</v>
      </c>
      <c r="S17" s="1" t="s">
        <v>27</v>
      </c>
      <c r="T17" s="1"/>
      <c r="U17" s="1"/>
      <c r="V17" s="1"/>
      <c r="W17" s="1"/>
    </row>
    <row r="18" spans="1:23" x14ac:dyDescent="0.45">
      <c r="A18">
        <f t="shared" ref="A18:A81" si="8">A17+1</f>
        <v>3</v>
      </c>
      <c r="B18">
        <f t="shared" ref="B18:B81" si="9">B17+0.1</f>
        <v>0.2</v>
      </c>
      <c r="C18">
        <f t="shared" ref="C18:C81" si="10">C17+0.1</f>
        <v>0.2</v>
      </c>
      <c r="D18">
        <f t="shared" si="0"/>
        <v>4.0000000000000008E-2</v>
      </c>
      <c r="E18">
        <f t="shared" si="1"/>
        <v>4.0000000000000008E-2</v>
      </c>
      <c r="F18">
        <f t="shared" si="2"/>
        <v>4.0000000000000008E-2</v>
      </c>
      <c r="G18">
        <f>$B$12+$C$12*B18+$D$12*C18+$E$12*D18+$F$12*E18+$G$12*F18</f>
        <v>3.8216280167386878</v>
      </c>
      <c r="H18">
        <v>1.1484053175081499</v>
      </c>
      <c r="I18">
        <f t="shared" si="4"/>
        <v>33.873726789387888</v>
      </c>
      <c r="K18">
        <f t="shared" si="5"/>
        <v>-2.081281819309551</v>
      </c>
      <c r="O18">
        <f t="shared" si="6"/>
        <v>35.95500860869744</v>
      </c>
      <c r="P18">
        <f t="shared" si="7"/>
        <v>1292.7626440515071</v>
      </c>
      <c r="R18" t="s">
        <v>74</v>
      </c>
    </row>
    <row r="19" spans="1:23" x14ac:dyDescent="0.45">
      <c r="A19">
        <f t="shared" si="8"/>
        <v>4</v>
      </c>
      <c r="B19">
        <f t="shared" si="9"/>
        <v>0.30000000000000004</v>
      </c>
      <c r="C19">
        <f t="shared" si="10"/>
        <v>0.30000000000000004</v>
      </c>
      <c r="D19">
        <f t="shared" si="0"/>
        <v>9.0000000000000024E-2</v>
      </c>
      <c r="E19">
        <f t="shared" si="1"/>
        <v>9.0000000000000024E-2</v>
      </c>
      <c r="F19">
        <f t="shared" si="2"/>
        <v>9.0000000000000024E-2</v>
      </c>
      <c r="G19">
        <f t="shared" si="3"/>
        <v>3.9688442382102957</v>
      </c>
      <c r="H19">
        <v>-1.0143116924155038</v>
      </c>
      <c r="I19">
        <f t="shared" si="4"/>
        <v>-22.574219175032194</v>
      </c>
      <c r="K19">
        <f t="shared" si="5"/>
        <v>-1.7823801526232663</v>
      </c>
      <c r="O19">
        <f t="shared" si="6"/>
        <v>-20.791839022408929</v>
      </c>
      <c r="P19">
        <f t="shared" si="7"/>
        <v>432.30056993376672</v>
      </c>
      <c r="R19" t="s">
        <v>28</v>
      </c>
    </row>
    <row r="20" spans="1:23" ht="14.65" thickBot="1" x14ac:dyDescent="0.5">
      <c r="A20">
        <f t="shared" si="8"/>
        <v>5</v>
      </c>
      <c r="B20">
        <f>B19+0.1</f>
        <v>0.4</v>
      </c>
      <c r="C20">
        <f t="shared" si="10"/>
        <v>0.4</v>
      </c>
      <c r="D20">
        <f t="shared" si="0"/>
        <v>0.16000000000000003</v>
      </c>
      <c r="E20">
        <f t="shared" si="1"/>
        <v>0.16000000000000003</v>
      </c>
      <c r="F20">
        <f t="shared" si="2"/>
        <v>0.16000000000000003</v>
      </c>
      <c r="G20">
        <f t="shared" si="3"/>
        <v>4.1439599180035298</v>
      </c>
      <c r="H20">
        <v>-0.69078623710083775</v>
      </c>
      <c r="I20">
        <f t="shared" si="4"/>
        <v>-13.932912342729209</v>
      </c>
      <c r="K20">
        <f t="shared" si="5"/>
        <v>-1.4561795560185418</v>
      </c>
      <c r="O20">
        <f t="shared" si="6"/>
        <v>-12.476732786710667</v>
      </c>
      <c r="P20">
        <f t="shared" si="7"/>
        <v>155.66886103098091</v>
      </c>
    </row>
    <row r="21" spans="1:23" x14ac:dyDescent="0.45">
      <c r="A21">
        <f t="shared" si="8"/>
        <v>6</v>
      </c>
      <c r="B21">
        <f t="shared" si="9"/>
        <v>0.5</v>
      </c>
      <c r="C21">
        <f t="shared" si="10"/>
        <v>0.5</v>
      </c>
      <c r="D21">
        <f t="shared" si="0"/>
        <v>0.25</v>
      </c>
      <c r="E21">
        <f t="shared" si="1"/>
        <v>0.25</v>
      </c>
      <c r="F21">
        <f t="shared" si="2"/>
        <v>0.25</v>
      </c>
      <c r="G21">
        <f t="shared" si="3"/>
        <v>4.3469750561183913</v>
      </c>
      <c r="H21">
        <v>0.81364987636334263</v>
      </c>
      <c r="I21">
        <f t="shared" si="4"/>
        <v>25.639010261843097</v>
      </c>
      <c r="K21">
        <f t="shared" si="5"/>
        <v>-1.102680029495378</v>
      </c>
      <c r="O21">
        <f t="shared" si="6"/>
        <v>26.741690291338475</v>
      </c>
      <c r="P21">
        <f t="shared" si="7"/>
        <v>715.11799963786643</v>
      </c>
      <c r="R21" s="7" t="s">
        <v>29</v>
      </c>
      <c r="S21" s="7"/>
    </row>
    <row r="22" spans="1:23" x14ac:dyDescent="0.45">
      <c r="A22">
        <f t="shared" si="8"/>
        <v>7</v>
      </c>
      <c r="B22">
        <f t="shared" si="9"/>
        <v>0.6</v>
      </c>
      <c r="C22">
        <f t="shared" si="10"/>
        <v>0.6</v>
      </c>
      <c r="D22">
        <f t="shared" si="0"/>
        <v>0.36</v>
      </c>
      <c r="E22">
        <f t="shared" si="1"/>
        <v>0.36</v>
      </c>
      <c r="F22">
        <f t="shared" si="2"/>
        <v>0.36</v>
      </c>
      <c r="G22">
        <f t="shared" si="3"/>
        <v>4.5778896525548767</v>
      </c>
      <c r="H22">
        <v>-0.33312971936538815</v>
      </c>
      <c r="I22">
        <f t="shared" si="4"/>
        <v>-4.139631137227175</v>
      </c>
      <c r="K22">
        <f t="shared" si="5"/>
        <v>-0.72188157305377387</v>
      </c>
      <c r="O22">
        <f t="shared" si="6"/>
        <v>-3.417749564173401</v>
      </c>
      <c r="P22">
        <f t="shared" si="7"/>
        <v>11.681012083407472</v>
      </c>
      <c r="R22" s="4" t="s">
        <v>30</v>
      </c>
      <c r="S22" s="4">
        <v>0.91322637952390484</v>
      </c>
    </row>
    <row r="23" spans="1:23" x14ac:dyDescent="0.45">
      <c r="A23">
        <f t="shared" si="8"/>
        <v>8</v>
      </c>
      <c r="B23">
        <f t="shared" si="9"/>
        <v>0.7</v>
      </c>
      <c r="C23">
        <f t="shared" si="10"/>
        <v>0.7</v>
      </c>
      <c r="D23">
        <f t="shared" si="0"/>
        <v>0.48999999999999994</v>
      </c>
      <c r="E23">
        <f t="shared" si="1"/>
        <v>0.48999999999999994</v>
      </c>
      <c r="F23">
        <f t="shared" si="2"/>
        <v>0.48999999999999994</v>
      </c>
      <c r="G23">
        <f t="shared" si="3"/>
        <v>4.8367037073129913</v>
      </c>
      <c r="H23">
        <v>-5.6753606259007938E-2</v>
      </c>
      <c r="I23">
        <f t="shared" si="4"/>
        <v>3.351544282328315</v>
      </c>
      <c r="K23">
        <f t="shared" si="5"/>
        <v>-0.3137841866937302</v>
      </c>
      <c r="O23">
        <f t="shared" si="6"/>
        <v>3.6653284690220453</v>
      </c>
      <c r="P23">
        <f t="shared" si="7"/>
        <v>13.43463278582349</v>
      </c>
      <c r="R23" s="4" t="s">
        <v>31</v>
      </c>
      <c r="S23" s="4">
        <v>0.83398242025833902</v>
      </c>
    </row>
    <row r="24" spans="1:23" x14ac:dyDescent="0.45">
      <c r="A24">
        <f t="shared" si="8"/>
        <v>9</v>
      </c>
      <c r="B24">
        <f t="shared" si="9"/>
        <v>0.79999999999999993</v>
      </c>
      <c r="C24">
        <f t="shared" si="10"/>
        <v>0.79999999999999993</v>
      </c>
      <c r="D24">
        <f t="shared" si="0"/>
        <v>0.6399999999999999</v>
      </c>
      <c r="E24">
        <f t="shared" si="1"/>
        <v>0.6399999999999999</v>
      </c>
      <c r="F24">
        <f t="shared" si="2"/>
        <v>0.6399999999999999</v>
      </c>
      <c r="G24">
        <f t="shared" si="3"/>
        <v>5.1234172203927297</v>
      </c>
      <c r="H24">
        <v>0.36010078474646434</v>
      </c>
      <c r="I24">
        <f t="shared" si="4"/>
        <v>14.546731608026116</v>
      </c>
      <c r="K24">
        <f t="shared" si="5"/>
        <v>0.12161212958475293</v>
      </c>
      <c r="O24">
        <f t="shared" si="6"/>
        <v>14.425119478441363</v>
      </c>
      <c r="P24">
        <f t="shared" si="7"/>
        <v>208.08407196730843</v>
      </c>
      <c r="R24" s="4" t="s">
        <v>32</v>
      </c>
      <c r="S24" s="4">
        <v>0.82426560709382513</v>
      </c>
    </row>
    <row r="25" spans="1:23" x14ac:dyDescent="0.45">
      <c r="A25">
        <f t="shared" si="8"/>
        <v>10</v>
      </c>
      <c r="B25">
        <f t="shared" si="9"/>
        <v>0.89999999999999991</v>
      </c>
      <c r="C25">
        <f t="shared" si="10"/>
        <v>0.89999999999999991</v>
      </c>
      <c r="D25">
        <f t="shared" si="0"/>
        <v>0.80999999999999983</v>
      </c>
      <c r="E25">
        <f t="shared" si="1"/>
        <v>0.80999999999999983</v>
      </c>
      <c r="F25">
        <f t="shared" si="2"/>
        <v>0.80999999999999983</v>
      </c>
      <c r="G25">
        <f t="shared" si="3"/>
        <v>5.4380301917940947</v>
      </c>
      <c r="H25">
        <v>-0.95965333457570523</v>
      </c>
      <c r="I25">
        <f t="shared" si="4"/>
        <v>-19.674703403648003</v>
      </c>
      <c r="K25">
        <f t="shared" si="5"/>
        <v>0.58430737578167558</v>
      </c>
      <c r="O25">
        <f t="shared" si="6"/>
        <v>-20.25901077942968</v>
      </c>
      <c r="P25">
        <f t="shared" si="7"/>
        <v>410.42751776104797</v>
      </c>
      <c r="R25" s="4" t="s">
        <v>33</v>
      </c>
      <c r="S25" s="4">
        <v>29.820658213834534</v>
      </c>
    </row>
    <row r="26" spans="1:23" ht="14.65" thickBot="1" x14ac:dyDescent="0.5">
      <c r="A26">
        <f t="shared" si="8"/>
        <v>11</v>
      </c>
      <c r="B26">
        <f t="shared" si="9"/>
        <v>0.99999999999999989</v>
      </c>
      <c r="C26">
        <f t="shared" si="10"/>
        <v>0.99999999999999989</v>
      </c>
      <c r="D26">
        <f t="shared" si="0"/>
        <v>0.99999999999999978</v>
      </c>
      <c r="E26">
        <f t="shared" si="1"/>
        <v>0.99999999999999978</v>
      </c>
      <c r="F26">
        <f t="shared" si="2"/>
        <v>0.99999999999999978</v>
      </c>
      <c r="G26">
        <f t="shared" si="3"/>
        <v>5.7805426215170881</v>
      </c>
      <c r="H26">
        <v>0.24583414415246807</v>
      </c>
      <c r="I26">
        <f t="shared" si="4"/>
        <v>12.213665029718776</v>
      </c>
      <c r="K26">
        <f t="shared" si="5"/>
        <v>1.074301551897038</v>
      </c>
      <c r="O26">
        <f t="shared" si="6"/>
        <v>11.139363477821737</v>
      </c>
      <c r="P26">
        <f t="shared" si="7"/>
        <v>124.08541869102879</v>
      </c>
      <c r="R26" s="5" t="s">
        <v>34</v>
      </c>
      <c r="S26" s="5">
        <v>122</v>
      </c>
    </row>
    <row r="27" spans="1:23" x14ac:dyDescent="0.45">
      <c r="A27">
        <f t="shared" si="8"/>
        <v>12</v>
      </c>
      <c r="B27">
        <f t="shared" si="9"/>
        <v>1.0999999999999999</v>
      </c>
      <c r="C27">
        <f t="shared" si="10"/>
        <v>1.0999999999999999</v>
      </c>
      <c r="D27">
        <f t="shared" si="0"/>
        <v>1.2099999999999997</v>
      </c>
      <c r="E27">
        <f t="shared" si="1"/>
        <v>1.2099999999999997</v>
      </c>
      <c r="F27">
        <f t="shared" si="2"/>
        <v>1.2099999999999997</v>
      </c>
      <c r="G27">
        <f t="shared" si="3"/>
        <v>6.1509545095617062</v>
      </c>
      <c r="H27">
        <v>0.19270032680651639</v>
      </c>
      <c r="I27">
        <f t="shared" si="4"/>
        <v>11.193642109856725</v>
      </c>
      <c r="K27">
        <f t="shared" si="5"/>
        <v>1.5915946579308402</v>
      </c>
      <c r="O27">
        <f t="shared" si="6"/>
        <v>9.602047451925884</v>
      </c>
      <c r="P27">
        <f t="shared" si="7"/>
        <v>92.199315269036362</v>
      </c>
    </row>
    <row r="28" spans="1:23" ht="14.65" thickBot="1" x14ac:dyDescent="0.5">
      <c r="A28">
        <f t="shared" si="8"/>
        <v>13</v>
      </c>
      <c r="B28">
        <f t="shared" si="9"/>
        <v>1.2</v>
      </c>
      <c r="C28">
        <f t="shared" si="10"/>
        <v>1.2</v>
      </c>
      <c r="D28">
        <f t="shared" si="0"/>
        <v>1.44</v>
      </c>
      <c r="E28">
        <f t="shared" si="1"/>
        <v>1.44</v>
      </c>
      <c r="F28">
        <f t="shared" si="2"/>
        <v>1.44</v>
      </c>
      <c r="G28">
        <f t="shared" si="3"/>
        <v>6.5492658559279509</v>
      </c>
      <c r="H28">
        <v>-0.15696741684223525</v>
      </c>
      <c r="I28">
        <f t="shared" si="4"/>
        <v>2.4416565971463911</v>
      </c>
      <c r="K28">
        <f t="shared" si="5"/>
        <v>2.1361866938830825</v>
      </c>
      <c r="O28">
        <f t="shared" si="6"/>
        <v>0.30546990326330858</v>
      </c>
      <c r="P28">
        <f t="shared" si="7"/>
        <v>9.3311861799695098E-2</v>
      </c>
      <c r="R28" t="s">
        <v>35</v>
      </c>
    </row>
    <row r="29" spans="1:23" x14ac:dyDescent="0.45">
      <c r="A29">
        <f t="shared" si="8"/>
        <v>14</v>
      </c>
      <c r="B29">
        <f t="shared" si="9"/>
        <v>1.3</v>
      </c>
      <c r="C29">
        <f t="shared" si="10"/>
        <v>1.3</v>
      </c>
      <c r="D29">
        <f t="shared" si="0"/>
        <v>1.6900000000000002</v>
      </c>
      <c r="E29">
        <f t="shared" si="1"/>
        <v>1.6900000000000002</v>
      </c>
      <c r="F29">
        <f t="shared" si="2"/>
        <v>1.6900000000000002</v>
      </c>
      <c r="G29">
        <f t="shared" si="3"/>
        <v>6.9754766606158221</v>
      </c>
      <c r="H29">
        <v>-0.92753452918259427</v>
      </c>
      <c r="I29">
        <f t="shared" si="4"/>
        <v>-17.296754459421795</v>
      </c>
      <c r="K29">
        <f t="shared" si="5"/>
        <v>2.7080776597537648</v>
      </c>
      <c r="O29">
        <f t="shared" si="6"/>
        <v>-20.00483211917556</v>
      </c>
      <c r="P29">
        <f t="shared" si="7"/>
        <v>400.19330811639816</v>
      </c>
      <c r="R29" s="6"/>
      <c r="S29" s="6" t="s">
        <v>40</v>
      </c>
      <c r="T29" s="6" t="s">
        <v>41</v>
      </c>
      <c r="U29" s="6" t="s">
        <v>42</v>
      </c>
      <c r="V29" s="6" t="s">
        <v>43</v>
      </c>
      <c r="W29" s="6" t="s">
        <v>44</v>
      </c>
    </row>
    <row r="30" spans="1:23" x14ac:dyDescent="0.45">
      <c r="A30">
        <f t="shared" si="8"/>
        <v>15</v>
      </c>
      <c r="B30">
        <f t="shared" si="9"/>
        <v>1.4000000000000001</v>
      </c>
      <c r="C30">
        <f t="shared" si="10"/>
        <v>1.4000000000000001</v>
      </c>
      <c r="D30">
        <f t="shared" si="0"/>
        <v>1.9600000000000004</v>
      </c>
      <c r="E30">
        <f t="shared" si="1"/>
        <v>1.9600000000000004</v>
      </c>
      <c r="F30">
        <f t="shared" si="2"/>
        <v>1.9600000000000004</v>
      </c>
      <c r="G30">
        <f t="shared" si="3"/>
        <v>7.4295869236253207</v>
      </c>
      <c r="H30">
        <v>-0.44009084376739338</v>
      </c>
      <c r="I30">
        <f t="shared" si="4"/>
        <v>-4.0869511001916727</v>
      </c>
      <c r="K30">
        <f t="shared" si="5"/>
        <v>3.3072675555428863</v>
      </c>
      <c r="O30">
        <f t="shared" si="6"/>
        <v>-7.3942186557345586</v>
      </c>
      <c r="P30">
        <f t="shared" si="7"/>
        <v>54.674469528812985</v>
      </c>
      <c r="R30" s="4" t="s">
        <v>36</v>
      </c>
      <c r="S30" s="4">
        <v>2</v>
      </c>
      <c r="T30" s="4">
        <v>536066.31009623781</v>
      </c>
      <c r="U30" s="4">
        <v>268033.1550481189</v>
      </c>
      <c r="V30" s="4">
        <v>602.81501866688666</v>
      </c>
      <c r="W30" s="4">
        <v>5.3754591864425997E-63</v>
      </c>
    </row>
    <row r="31" spans="1:23" x14ac:dyDescent="0.45">
      <c r="A31">
        <f t="shared" si="8"/>
        <v>16</v>
      </c>
      <c r="B31">
        <f t="shared" si="9"/>
        <v>1.5000000000000002</v>
      </c>
      <c r="C31">
        <f t="shared" si="10"/>
        <v>1.5000000000000002</v>
      </c>
      <c r="D31">
        <f t="shared" si="0"/>
        <v>2.2500000000000009</v>
      </c>
      <c r="E31">
        <f t="shared" si="1"/>
        <v>2.2500000000000009</v>
      </c>
      <c r="F31">
        <f t="shared" si="2"/>
        <v>2.2500000000000009</v>
      </c>
      <c r="G31">
        <f t="shared" si="3"/>
        <v>7.9115966449564441</v>
      </c>
      <c r="H31">
        <v>-0.7051335160213057</v>
      </c>
      <c r="I31">
        <f t="shared" si="4"/>
        <v>-10.54072306160684</v>
      </c>
      <c r="K31">
        <f t="shared" si="5"/>
        <v>3.9337563812504484</v>
      </c>
      <c r="O31">
        <f t="shared" si="6"/>
        <v>-14.474479442857289</v>
      </c>
      <c r="P31">
        <f t="shared" si="7"/>
        <v>209.51055514169826</v>
      </c>
      <c r="R31" s="4" t="s">
        <v>37</v>
      </c>
      <c r="S31" s="4">
        <v>120</v>
      </c>
      <c r="T31" s="4">
        <v>106712.59875676046</v>
      </c>
      <c r="U31" s="4">
        <v>889.27165630633715</v>
      </c>
      <c r="V31" s="4"/>
      <c r="W31" s="4"/>
    </row>
    <row r="32" spans="1:23" ht="14.65" thickBot="1" x14ac:dyDescent="0.5">
      <c r="A32">
        <f t="shared" si="8"/>
        <v>17</v>
      </c>
      <c r="B32">
        <f t="shared" si="9"/>
        <v>1.6000000000000003</v>
      </c>
      <c r="C32">
        <f t="shared" si="10"/>
        <v>1.6000000000000003</v>
      </c>
      <c r="D32">
        <f t="shared" si="0"/>
        <v>2.5600000000000009</v>
      </c>
      <c r="E32">
        <f t="shared" si="1"/>
        <v>2.5600000000000009</v>
      </c>
      <c r="F32">
        <f t="shared" si="2"/>
        <v>2.5600000000000009</v>
      </c>
      <c r="G32">
        <f t="shared" si="3"/>
        <v>8.4215058246091949</v>
      </c>
      <c r="H32">
        <v>-0.11565589375095442</v>
      </c>
      <c r="I32">
        <f t="shared" si="4"/>
        <v>5.3949591083466784</v>
      </c>
      <c r="K32">
        <f t="shared" si="5"/>
        <v>4.5875441368764491</v>
      </c>
      <c r="O32">
        <f t="shared" si="6"/>
        <v>0.80741497147022923</v>
      </c>
      <c r="P32">
        <f t="shared" si="7"/>
        <v>0.6519189361542711</v>
      </c>
      <c r="R32" s="5" t="s">
        <v>38</v>
      </c>
      <c r="S32" s="5">
        <v>122</v>
      </c>
      <c r="T32" s="5">
        <v>642778.90885299828</v>
      </c>
      <c r="U32" s="5"/>
      <c r="V32" s="5"/>
      <c r="W32" s="5"/>
    </row>
    <row r="33" spans="1:26" ht="14.65" thickBot="1" x14ac:dyDescent="0.5">
      <c r="A33">
        <f t="shared" si="8"/>
        <v>18</v>
      </c>
      <c r="B33">
        <f t="shared" si="9"/>
        <v>1.7000000000000004</v>
      </c>
      <c r="C33">
        <f t="shared" si="10"/>
        <v>1.7000000000000004</v>
      </c>
      <c r="D33">
        <f t="shared" si="0"/>
        <v>2.8900000000000015</v>
      </c>
      <c r="E33">
        <f t="shared" si="1"/>
        <v>2.8900000000000015</v>
      </c>
      <c r="F33">
        <f t="shared" si="2"/>
        <v>2.8900000000000015</v>
      </c>
      <c r="G33">
        <f t="shared" si="3"/>
        <v>8.9593144625835706</v>
      </c>
      <c r="H33">
        <v>-0.47894559429551009</v>
      </c>
      <c r="I33">
        <f t="shared" si="4"/>
        <v>-3.5739959349379014</v>
      </c>
      <c r="K33">
        <f t="shared" si="5"/>
        <v>5.2686308224208895</v>
      </c>
      <c r="O33">
        <f t="shared" si="6"/>
        <v>-8.84262675735879</v>
      </c>
      <c r="P33">
        <f t="shared" si="7"/>
        <v>78.192047969957628</v>
      </c>
    </row>
    <row r="34" spans="1:26" x14ac:dyDescent="0.45">
      <c r="A34">
        <f t="shared" si="8"/>
        <v>19</v>
      </c>
      <c r="B34">
        <f t="shared" si="9"/>
        <v>1.8000000000000005</v>
      </c>
      <c r="C34">
        <f t="shared" si="10"/>
        <v>1.8000000000000005</v>
      </c>
      <c r="D34">
        <f t="shared" si="0"/>
        <v>3.2400000000000015</v>
      </c>
      <c r="E34">
        <f t="shared" si="1"/>
        <v>3.2400000000000015</v>
      </c>
      <c r="F34">
        <f t="shared" si="2"/>
        <v>3.2400000000000015</v>
      </c>
      <c r="G34">
        <f t="shared" si="3"/>
        <v>9.5250225588795736</v>
      </c>
      <c r="H34">
        <v>0.55110604080255143</v>
      </c>
      <c r="I34">
        <f t="shared" si="4"/>
        <v>23.946667007843374</v>
      </c>
      <c r="K34">
        <f t="shared" si="5"/>
        <v>5.97701643788377</v>
      </c>
      <c r="O34">
        <f t="shared" si="6"/>
        <v>17.969650569959605</v>
      </c>
      <c r="P34">
        <f t="shared" si="7"/>
        <v>322.90834160644954</v>
      </c>
      <c r="R34" s="6"/>
      <c r="S34" s="6" t="s">
        <v>45</v>
      </c>
      <c r="T34" s="6" t="s">
        <v>33</v>
      </c>
      <c r="U34" s="6" t="s">
        <v>46</v>
      </c>
      <c r="V34" s="6" t="s">
        <v>47</v>
      </c>
      <c r="W34" s="6" t="s">
        <v>48</v>
      </c>
      <c r="X34" s="6" t="s">
        <v>49</v>
      </c>
      <c r="Y34" s="6" t="s">
        <v>50</v>
      </c>
      <c r="Z34" s="6" t="s">
        <v>51</v>
      </c>
    </row>
    <row r="35" spans="1:26" x14ac:dyDescent="0.45">
      <c r="A35">
        <f t="shared" si="8"/>
        <v>20</v>
      </c>
      <c r="B35">
        <f t="shared" si="9"/>
        <v>1.9000000000000006</v>
      </c>
      <c r="C35">
        <f t="shared" si="10"/>
        <v>1.9000000000000006</v>
      </c>
      <c r="D35">
        <f t="shared" si="0"/>
        <v>3.6100000000000021</v>
      </c>
      <c r="E35">
        <f t="shared" si="1"/>
        <v>3.6100000000000021</v>
      </c>
      <c r="F35">
        <f t="shared" si="2"/>
        <v>3.6100000000000021</v>
      </c>
      <c r="G35">
        <f t="shared" si="3"/>
        <v>10.118630113497204</v>
      </c>
      <c r="H35">
        <v>0.32739421840233263</v>
      </c>
      <c r="I35">
        <f t="shared" si="4"/>
        <v>18.686061175528458</v>
      </c>
      <c r="K35">
        <f t="shared" si="5"/>
        <v>6.7127009832650897</v>
      </c>
      <c r="O35">
        <f t="shared" si="6"/>
        <v>11.973360192263367</v>
      </c>
      <c r="P35">
        <f t="shared" si="7"/>
        <v>143.36135429367707</v>
      </c>
      <c r="R35" s="4" t="s">
        <v>39</v>
      </c>
      <c r="S35" s="4">
        <v>-35.62890314318534</v>
      </c>
      <c r="T35" s="4">
        <v>5.3666452567503153</v>
      </c>
      <c r="U35" s="4">
        <v>-6.6389525371311464</v>
      </c>
      <c r="V35" s="4">
        <v>9.680031608654803E-10</v>
      </c>
      <c r="W35" s="4">
        <v>-46.254487260316751</v>
      </c>
      <c r="X35" s="4">
        <v>-25.003319026053926</v>
      </c>
      <c r="Y35" s="4">
        <v>-46.254487260316751</v>
      </c>
      <c r="Z35" s="4">
        <v>-25.003319026053926</v>
      </c>
    </row>
    <row r="36" spans="1:26" x14ac:dyDescent="0.45">
      <c r="A36">
        <f t="shared" si="8"/>
        <v>21</v>
      </c>
      <c r="B36">
        <f t="shared" si="9"/>
        <v>2.0000000000000004</v>
      </c>
      <c r="C36">
        <f t="shared" si="10"/>
        <v>2.0000000000000004</v>
      </c>
      <c r="D36">
        <f t="shared" si="0"/>
        <v>4.0000000000000018</v>
      </c>
      <c r="E36">
        <f t="shared" si="1"/>
        <v>4.0000000000000018</v>
      </c>
      <c r="F36">
        <f t="shared" si="2"/>
        <v>4.0000000000000018</v>
      </c>
      <c r="G36">
        <f t="shared" si="3"/>
        <v>10.740137126436458</v>
      </c>
      <c r="H36">
        <v>1.8110586097463965</v>
      </c>
      <c r="I36">
        <f t="shared" si="4"/>
        <v>58.132909863897424</v>
      </c>
      <c r="K36">
        <f t="shared" si="5"/>
        <v>7.4756844585648494</v>
      </c>
      <c r="O36">
        <f t="shared" si="6"/>
        <v>50.657225405332575</v>
      </c>
      <c r="P36">
        <f t="shared" si="7"/>
        <v>2566.1544857666722</v>
      </c>
      <c r="R36" s="4" t="s">
        <v>52</v>
      </c>
      <c r="S36" s="4">
        <v>0</v>
      </c>
      <c r="T36" s="4">
        <v>0</v>
      </c>
      <c r="U36" s="4">
        <v>65535</v>
      </c>
      <c r="V36" s="4" t="e">
        <v>#NUM!</v>
      </c>
      <c r="W36" s="4">
        <v>0</v>
      </c>
      <c r="X36" s="4">
        <v>0</v>
      </c>
      <c r="Y36" s="4">
        <v>0</v>
      </c>
      <c r="Z36" s="4">
        <v>0</v>
      </c>
    </row>
    <row r="37" spans="1:26" ht="14.65" thickBot="1" x14ac:dyDescent="0.5">
      <c r="A37">
        <f t="shared" si="8"/>
        <v>22</v>
      </c>
      <c r="B37">
        <f t="shared" si="9"/>
        <v>2.1000000000000005</v>
      </c>
      <c r="C37">
        <f t="shared" si="10"/>
        <v>2.1000000000000005</v>
      </c>
      <c r="D37">
        <f t="shared" si="0"/>
        <v>4.4100000000000019</v>
      </c>
      <c r="E37">
        <f t="shared" si="1"/>
        <v>4.4100000000000019</v>
      </c>
      <c r="F37">
        <f t="shared" si="2"/>
        <v>4.4100000000000019</v>
      </c>
      <c r="G37">
        <f t="shared" si="3"/>
        <v>11.389543597697338</v>
      </c>
      <c r="H37">
        <v>-2.7555506676435471</v>
      </c>
      <c r="I37">
        <f t="shared" si="4"/>
        <v>-60.719214150610156</v>
      </c>
      <c r="K37">
        <f t="shared" si="5"/>
        <v>8.2659668637830475</v>
      </c>
      <c r="O37">
        <f t="shared" si="6"/>
        <v>-68.985181014393206</v>
      </c>
      <c r="P37">
        <f t="shared" si="7"/>
        <v>4758.9551995885968</v>
      </c>
      <c r="R37" s="5" t="s">
        <v>58</v>
      </c>
      <c r="S37" s="5">
        <v>18.822388099221026</v>
      </c>
      <c r="T37" s="5">
        <v>0.76662449561025758</v>
      </c>
      <c r="U37" s="5">
        <v>24.552291515597613</v>
      </c>
      <c r="V37" s="5" t="e">
        <v>#NUM!</v>
      </c>
      <c r="W37" s="5">
        <v>17.304524951081287</v>
      </c>
      <c r="X37" s="5">
        <v>20.340251247360765</v>
      </c>
      <c r="Y37" s="5">
        <v>17.304524951081287</v>
      </c>
      <c r="Z37" s="5">
        <v>20.340251247360765</v>
      </c>
    </row>
    <row r="38" spans="1:26" x14ac:dyDescent="0.45">
      <c r="A38">
        <f t="shared" si="8"/>
        <v>23</v>
      </c>
      <c r="B38">
        <f t="shared" si="9"/>
        <v>2.2000000000000006</v>
      </c>
      <c r="C38">
        <f t="shared" si="10"/>
        <v>2.2000000000000006</v>
      </c>
      <c r="D38">
        <f t="shared" si="0"/>
        <v>4.8400000000000025</v>
      </c>
      <c r="E38">
        <f t="shared" si="1"/>
        <v>4.8400000000000025</v>
      </c>
      <c r="F38">
        <f t="shared" si="2"/>
        <v>4.8400000000000025</v>
      </c>
      <c r="G38">
        <f t="shared" si="3"/>
        <v>12.066849527279846</v>
      </c>
      <c r="H38">
        <v>-0.65452695707790554</v>
      </c>
      <c r="I38">
        <f t="shared" si="4"/>
        <v>-5.0611700522072987</v>
      </c>
      <c r="K38">
        <f t="shared" si="5"/>
        <v>9.0835481989196882</v>
      </c>
      <c r="O38">
        <f t="shared" si="6"/>
        <v>-14.144718251126987</v>
      </c>
      <c r="P38">
        <f t="shared" si="7"/>
        <v>200.0730544037649</v>
      </c>
    </row>
    <row r="39" spans="1:26" x14ac:dyDescent="0.45">
      <c r="A39">
        <f t="shared" si="8"/>
        <v>24</v>
      </c>
      <c r="B39">
        <f t="shared" si="9"/>
        <v>2.3000000000000007</v>
      </c>
      <c r="C39">
        <f t="shared" si="10"/>
        <v>2.3000000000000007</v>
      </c>
      <c r="D39">
        <f t="shared" si="0"/>
        <v>5.2900000000000036</v>
      </c>
      <c r="E39">
        <f t="shared" si="1"/>
        <v>5.2900000000000036</v>
      </c>
      <c r="F39">
        <f t="shared" si="2"/>
        <v>5.2900000000000036</v>
      </c>
      <c r="G39">
        <f t="shared" si="3"/>
        <v>12.772054915183983</v>
      </c>
      <c r="H39">
        <v>-0.35904008655052166</v>
      </c>
      <c r="I39">
        <f t="shared" si="4"/>
        <v>3.3764974583715084</v>
      </c>
      <c r="K39">
        <f t="shared" si="5"/>
        <v>9.9284284639747682</v>
      </c>
      <c r="O39">
        <f t="shared" si="6"/>
        <v>-6.5519310056032598</v>
      </c>
      <c r="P39">
        <f t="shared" si="7"/>
        <v>42.927799902185342</v>
      </c>
      <c r="R39" t="s">
        <v>73</v>
      </c>
    </row>
    <row r="40" spans="1:26" x14ac:dyDescent="0.45">
      <c r="A40">
        <f t="shared" si="8"/>
        <v>25</v>
      </c>
      <c r="B40">
        <f t="shared" si="9"/>
        <v>2.4000000000000008</v>
      </c>
      <c r="C40">
        <f t="shared" si="10"/>
        <v>2.4000000000000008</v>
      </c>
      <c r="D40">
        <f t="shared" si="0"/>
        <v>5.7600000000000042</v>
      </c>
      <c r="E40">
        <f t="shared" si="1"/>
        <v>5.7600000000000042</v>
      </c>
      <c r="F40">
        <f t="shared" si="2"/>
        <v>5.7600000000000042</v>
      </c>
      <c r="G40">
        <f t="shared" si="3"/>
        <v>13.505159761409743</v>
      </c>
      <c r="H40">
        <v>-1.5586329027428292</v>
      </c>
      <c r="I40">
        <f t="shared" si="4"/>
        <v>-27.281998944162893</v>
      </c>
      <c r="K40">
        <f t="shared" si="5"/>
        <v>10.800607658948286</v>
      </c>
      <c r="O40">
        <f t="shared" si="6"/>
        <v>-38.082606603111181</v>
      </c>
      <c r="P40">
        <f t="shared" si="7"/>
        <v>1450.2849256873274</v>
      </c>
      <c r="R40" t="s">
        <v>28</v>
      </c>
    </row>
    <row r="41" spans="1:26" ht="14.65" thickBot="1" x14ac:dyDescent="0.5">
      <c r="A41">
        <f t="shared" si="8"/>
        <v>26</v>
      </c>
      <c r="B41">
        <f t="shared" si="9"/>
        <v>2.5000000000000009</v>
      </c>
      <c r="C41">
        <f t="shared" si="10"/>
        <v>2.5000000000000009</v>
      </c>
      <c r="D41">
        <f t="shared" si="0"/>
        <v>6.2500000000000044</v>
      </c>
      <c r="E41">
        <f t="shared" si="1"/>
        <v>6.2500000000000044</v>
      </c>
      <c r="F41">
        <f t="shared" si="2"/>
        <v>6.2500000000000044</v>
      </c>
      <c r="G41">
        <f t="shared" si="3"/>
        <v>14.266164065957131</v>
      </c>
      <c r="H41">
        <v>0.32473167266289238</v>
      </c>
      <c r="I41">
        <f t="shared" si="4"/>
        <v>22.763920174094949</v>
      </c>
      <c r="K41">
        <f t="shared" si="5"/>
        <v>11.700085783840244</v>
      </c>
      <c r="O41">
        <f t="shared" si="6"/>
        <v>11.063834390254705</v>
      </c>
      <c r="P41">
        <f t="shared" si="7"/>
        <v>122.4084314149827</v>
      </c>
    </row>
    <row r="42" spans="1:26" x14ac:dyDescent="0.45">
      <c r="A42">
        <f t="shared" si="8"/>
        <v>27</v>
      </c>
      <c r="B42">
        <f t="shared" si="9"/>
        <v>2.600000000000001</v>
      </c>
      <c r="C42">
        <f t="shared" si="10"/>
        <v>2.600000000000001</v>
      </c>
      <c r="D42">
        <f t="shared" si="0"/>
        <v>6.7600000000000051</v>
      </c>
      <c r="E42">
        <f t="shared" si="1"/>
        <v>6.7600000000000051</v>
      </c>
      <c r="F42">
        <f t="shared" si="2"/>
        <v>6.7600000000000051</v>
      </c>
      <c r="G42">
        <f t="shared" si="3"/>
        <v>15.055067828826143</v>
      </c>
      <c r="H42">
        <v>-0.43310592445777729</v>
      </c>
      <c r="I42">
        <f t="shared" si="4"/>
        <v>3.7213149957526426</v>
      </c>
      <c r="K42">
        <f t="shared" si="5"/>
        <v>12.626862838650641</v>
      </c>
      <c r="O42">
        <f t="shared" si="6"/>
        <v>-8.9055478428979988</v>
      </c>
      <c r="P42">
        <f t="shared" si="7"/>
        <v>79.308782382145196</v>
      </c>
      <c r="R42" s="7" t="s">
        <v>29</v>
      </c>
      <c r="S42" s="7"/>
    </row>
    <row r="43" spans="1:26" x14ac:dyDescent="0.45">
      <c r="A43">
        <f t="shared" si="8"/>
        <v>28</v>
      </c>
      <c r="B43">
        <f t="shared" si="9"/>
        <v>2.7000000000000011</v>
      </c>
      <c r="C43">
        <f t="shared" si="10"/>
        <v>2.7000000000000011</v>
      </c>
      <c r="D43">
        <f t="shared" si="0"/>
        <v>7.2900000000000054</v>
      </c>
      <c r="E43">
        <f t="shared" si="1"/>
        <v>7.2900000000000054</v>
      </c>
      <c r="F43">
        <f t="shared" si="2"/>
        <v>7.2900000000000054</v>
      </c>
      <c r="G43">
        <f t="shared" si="3"/>
        <v>15.871871050016782</v>
      </c>
      <c r="H43">
        <v>-0.63550032791681588</v>
      </c>
      <c r="I43">
        <f t="shared" si="4"/>
        <v>-0.75824928593470631</v>
      </c>
      <c r="K43">
        <f t="shared" si="5"/>
        <v>13.58093882337948</v>
      </c>
      <c r="O43">
        <f t="shared" si="6"/>
        <v>-14.339188109314186</v>
      </c>
      <c r="P43">
        <f t="shared" si="7"/>
        <v>205.61231563429735</v>
      </c>
      <c r="R43" s="4" t="s">
        <v>30</v>
      </c>
      <c r="S43" s="4">
        <v>0.93674422681201364</v>
      </c>
    </row>
    <row r="44" spans="1:26" x14ac:dyDescent="0.45">
      <c r="A44">
        <f t="shared" si="8"/>
        <v>29</v>
      </c>
      <c r="B44">
        <f t="shared" si="9"/>
        <v>2.8000000000000012</v>
      </c>
      <c r="C44">
        <f t="shared" si="10"/>
        <v>2.8000000000000012</v>
      </c>
      <c r="D44">
        <f t="shared" si="0"/>
        <v>7.8400000000000061</v>
      </c>
      <c r="E44">
        <f t="shared" si="1"/>
        <v>7.8400000000000061</v>
      </c>
      <c r="F44">
        <f t="shared" si="2"/>
        <v>7.8400000000000061</v>
      </c>
      <c r="G44">
        <f t="shared" si="3"/>
        <v>16.716573729529049</v>
      </c>
      <c r="H44">
        <v>-2.0030893210787326</v>
      </c>
      <c r="I44">
        <f t="shared" si="4"/>
        <v>-35.701363744075266</v>
      </c>
      <c r="K44">
        <f t="shared" si="5"/>
        <v>14.562313738026756</v>
      </c>
      <c r="O44">
        <f t="shared" si="6"/>
        <v>-50.263677482102025</v>
      </c>
      <c r="P44">
        <f t="shared" si="7"/>
        <v>2526.43727402477</v>
      </c>
      <c r="R44" s="4" t="s">
        <v>31</v>
      </c>
      <c r="S44" s="4">
        <v>0.87748974646563727</v>
      </c>
    </row>
    <row r="45" spans="1:26" x14ac:dyDescent="0.45">
      <c r="A45">
        <f t="shared" si="8"/>
        <v>30</v>
      </c>
      <c r="B45">
        <f t="shared" si="9"/>
        <v>2.9000000000000012</v>
      </c>
      <c r="C45">
        <f t="shared" si="10"/>
        <v>2.9000000000000012</v>
      </c>
      <c r="D45">
        <f t="shared" si="0"/>
        <v>8.4100000000000072</v>
      </c>
      <c r="E45">
        <f t="shared" si="1"/>
        <v>8.4100000000000072</v>
      </c>
      <c r="F45">
        <f t="shared" si="2"/>
        <v>8.4100000000000072</v>
      </c>
      <c r="G45">
        <f t="shared" si="3"/>
        <v>17.58917586736294</v>
      </c>
      <c r="H45">
        <v>7.6764763434766792E-2</v>
      </c>
      <c r="I45">
        <f t="shared" si="4"/>
        <v>19.59799820371919</v>
      </c>
      <c r="K45">
        <f t="shared" si="5"/>
        <v>15.570987582592476</v>
      </c>
      <c r="O45">
        <f t="shared" si="6"/>
        <v>4.0270106211267134</v>
      </c>
      <c r="P45">
        <f t="shared" si="7"/>
        <v>16.216814542667358</v>
      </c>
      <c r="R45" s="4" t="s">
        <v>32</v>
      </c>
      <c r="S45" s="4">
        <v>0.85862402791884118</v>
      </c>
    </row>
    <row r="46" spans="1:26" x14ac:dyDescent="0.45">
      <c r="A46">
        <f t="shared" si="8"/>
        <v>31</v>
      </c>
      <c r="B46">
        <f t="shared" si="9"/>
        <v>3.0000000000000013</v>
      </c>
      <c r="C46">
        <f t="shared" si="10"/>
        <v>3.0000000000000013</v>
      </c>
      <c r="D46">
        <f t="shared" si="0"/>
        <v>9.0000000000000071</v>
      </c>
      <c r="E46">
        <f t="shared" si="1"/>
        <v>9.0000000000000071</v>
      </c>
      <c r="F46">
        <f t="shared" si="2"/>
        <v>9.0000000000000071</v>
      </c>
      <c r="G46">
        <f t="shared" si="3"/>
        <v>18.489677463518458</v>
      </c>
      <c r="H46">
        <v>0.93651124188909307</v>
      </c>
      <c r="I46">
        <f t="shared" si="4"/>
        <v>42.996816113847515</v>
      </c>
      <c r="K46">
        <f t="shared" si="5"/>
        <v>16.60696035707663</v>
      </c>
      <c r="O46">
        <f t="shared" si="6"/>
        <v>26.389855756770885</v>
      </c>
      <c r="P46">
        <f t="shared" si="7"/>
        <v>696.42448686317346</v>
      </c>
      <c r="R46" s="4" t="s">
        <v>33</v>
      </c>
      <c r="S46" s="4">
        <v>25.724298928817781</v>
      </c>
    </row>
    <row r="47" spans="1:26" ht="14.65" thickBot="1" x14ac:dyDescent="0.5">
      <c r="A47">
        <f t="shared" si="8"/>
        <v>32</v>
      </c>
      <c r="B47">
        <f t="shared" si="9"/>
        <v>3.1000000000000014</v>
      </c>
      <c r="C47">
        <f t="shared" si="10"/>
        <v>3.1000000000000014</v>
      </c>
      <c r="D47">
        <f t="shared" si="0"/>
        <v>9.6100000000000083</v>
      </c>
      <c r="E47">
        <f t="shared" si="1"/>
        <v>9.6100000000000083</v>
      </c>
      <c r="F47">
        <f t="shared" si="2"/>
        <v>9.6100000000000083</v>
      </c>
      <c r="G47">
        <f t="shared" si="3"/>
        <v>19.418078517995607</v>
      </c>
      <c r="H47">
        <v>-0.16425133253505919</v>
      </c>
      <c r="I47">
        <f t="shared" si="4"/>
        <v>15.119859767499602</v>
      </c>
      <c r="K47">
        <f t="shared" si="5"/>
        <v>17.670232061479226</v>
      </c>
      <c r="O47">
        <f t="shared" si="6"/>
        <v>-2.5503722939796241</v>
      </c>
      <c r="P47">
        <f t="shared" si="7"/>
        <v>6.50439883789889</v>
      </c>
      <c r="R47" s="5" t="s">
        <v>34</v>
      </c>
      <c r="S47" s="5">
        <v>122</v>
      </c>
    </row>
    <row r="48" spans="1:26" x14ac:dyDescent="0.45">
      <c r="A48">
        <f t="shared" si="8"/>
        <v>33</v>
      </c>
      <c r="B48">
        <f t="shared" si="9"/>
        <v>3.2000000000000015</v>
      </c>
      <c r="C48">
        <f t="shared" si="10"/>
        <v>3.2000000000000015</v>
      </c>
      <c r="D48">
        <f t="shared" si="0"/>
        <v>10.240000000000009</v>
      </c>
      <c r="E48">
        <f t="shared" si="1"/>
        <v>10.240000000000009</v>
      </c>
      <c r="F48">
        <f t="shared" si="2"/>
        <v>10.240000000000009</v>
      </c>
      <c r="G48">
        <f t="shared" si="3"/>
        <v>20.37437903079438</v>
      </c>
      <c r="H48">
        <v>0.74917807069141418</v>
      </c>
      <c r="I48">
        <f t="shared" si="4"/>
        <v>39.979280745786106</v>
      </c>
      <c r="K48">
        <f t="shared" si="5"/>
        <v>18.760802695800265</v>
      </c>
      <c r="O48">
        <f t="shared" si="6"/>
        <v>21.218478049985841</v>
      </c>
      <c r="P48">
        <f t="shared" si="7"/>
        <v>450.22381075773092</v>
      </c>
    </row>
    <row r="49" spans="1:26" ht="14.65" thickBot="1" x14ac:dyDescent="0.5">
      <c r="A49">
        <f t="shared" si="8"/>
        <v>34</v>
      </c>
      <c r="B49">
        <f t="shared" si="9"/>
        <v>3.3000000000000016</v>
      </c>
      <c r="C49">
        <f t="shared" si="10"/>
        <v>3.3000000000000016</v>
      </c>
      <c r="D49">
        <f t="shared" si="0"/>
        <v>10.890000000000011</v>
      </c>
      <c r="E49">
        <f t="shared" si="1"/>
        <v>10.890000000000011</v>
      </c>
      <c r="F49">
        <f t="shared" si="2"/>
        <v>10.890000000000011</v>
      </c>
      <c r="G49">
        <f t="shared" si="3"/>
        <v>21.358579001914777</v>
      </c>
      <c r="H49">
        <v>0.89817831394611858</v>
      </c>
      <c r="I49">
        <f t="shared" si="4"/>
        <v>44.86260061749627</v>
      </c>
      <c r="K49">
        <f t="shared" si="5"/>
        <v>19.878672260039739</v>
      </c>
      <c r="O49">
        <f t="shared" si="6"/>
        <v>24.983928357456531</v>
      </c>
      <c r="P49">
        <f t="shared" si="7"/>
        <v>624.19667617052062</v>
      </c>
      <c r="R49" t="s">
        <v>35</v>
      </c>
    </row>
    <row r="50" spans="1:26" x14ac:dyDescent="0.45">
      <c r="A50">
        <f t="shared" si="8"/>
        <v>35</v>
      </c>
      <c r="B50">
        <f t="shared" si="9"/>
        <v>3.4000000000000017</v>
      </c>
      <c r="C50">
        <f t="shared" si="10"/>
        <v>3.4000000000000017</v>
      </c>
      <c r="D50">
        <f t="shared" si="0"/>
        <v>11.560000000000011</v>
      </c>
      <c r="E50">
        <f t="shared" si="1"/>
        <v>11.560000000000011</v>
      </c>
      <c r="F50">
        <f t="shared" si="2"/>
        <v>11.560000000000011</v>
      </c>
      <c r="G50">
        <f t="shared" si="3"/>
        <v>22.370678431356801</v>
      </c>
      <c r="H50">
        <v>-0.39104861571104266</v>
      </c>
      <c r="I50">
        <f t="shared" si="4"/>
        <v>12.137504267939018</v>
      </c>
      <c r="K50">
        <f t="shared" si="5"/>
        <v>21.023840754197657</v>
      </c>
      <c r="O50">
        <f t="shared" si="6"/>
        <v>-8.8863364862586387</v>
      </c>
      <c r="P50">
        <f t="shared" si="7"/>
        <v>78.966976147011536</v>
      </c>
      <c r="R50" s="6"/>
      <c r="S50" s="6" t="s">
        <v>40</v>
      </c>
      <c r="T50" s="6" t="s">
        <v>41</v>
      </c>
      <c r="U50" s="6" t="s">
        <v>42</v>
      </c>
      <c r="V50" s="6" t="s">
        <v>43</v>
      </c>
      <c r="W50" s="6" t="s">
        <v>44</v>
      </c>
    </row>
    <row r="51" spans="1:26" x14ac:dyDescent="0.45">
      <c r="A51">
        <f t="shared" si="8"/>
        <v>36</v>
      </c>
      <c r="B51">
        <f t="shared" si="9"/>
        <v>3.5000000000000018</v>
      </c>
      <c r="C51">
        <f t="shared" si="10"/>
        <v>3.5000000000000018</v>
      </c>
      <c r="D51">
        <f t="shared" si="0"/>
        <v>12.250000000000012</v>
      </c>
      <c r="E51">
        <f t="shared" si="1"/>
        <v>12.250000000000012</v>
      </c>
      <c r="F51">
        <f t="shared" si="2"/>
        <v>12.250000000000012</v>
      </c>
      <c r="G51">
        <f t="shared" si="3"/>
        <v>23.410677319120452</v>
      </c>
      <c r="H51">
        <v>0.76435640039562713</v>
      </c>
      <c r="I51">
        <f t="shared" si="4"/>
        <v>43.412773871614846</v>
      </c>
      <c r="K51">
        <f t="shared" si="5"/>
        <v>22.196308178274009</v>
      </c>
      <c r="O51">
        <f t="shared" si="6"/>
        <v>21.216465693340837</v>
      </c>
      <c r="P51">
        <f t="shared" si="7"/>
        <v>450.13841651670867</v>
      </c>
      <c r="R51" s="4" t="s">
        <v>36</v>
      </c>
      <c r="S51" s="4">
        <v>4</v>
      </c>
      <c r="T51" s="4">
        <v>564031.90176287643</v>
      </c>
      <c r="U51" s="4">
        <v>141007.97544071911</v>
      </c>
      <c r="V51" s="4">
        <v>426.17363370373647</v>
      </c>
      <c r="W51" s="4">
        <v>9.9366861884552363E-69</v>
      </c>
    </row>
    <row r="52" spans="1:26" x14ac:dyDescent="0.45">
      <c r="A52">
        <f t="shared" si="8"/>
        <v>37</v>
      </c>
      <c r="B52">
        <f t="shared" si="9"/>
        <v>3.6000000000000019</v>
      </c>
      <c r="C52">
        <f t="shared" si="10"/>
        <v>3.6000000000000019</v>
      </c>
      <c r="D52">
        <f t="shared" si="0"/>
        <v>12.960000000000013</v>
      </c>
      <c r="E52">
        <f t="shared" si="1"/>
        <v>12.960000000000013</v>
      </c>
      <c r="F52">
        <f t="shared" si="2"/>
        <v>12.960000000000013</v>
      </c>
      <c r="G52">
        <f t="shared" si="3"/>
        <v>24.478575665205724</v>
      </c>
      <c r="H52">
        <v>1.2321265785431024</v>
      </c>
      <c r="I52">
        <f t="shared" si="4"/>
        <v>56.721538210109522</v>
      </c>
      <c r="K52">
        <f t="shared" si="5"/>
        <v>23.396074532268809</v>
      </c>
      <c r="O52">
        <f t="shared" si="6"/>
        <v>33.325463677840716</v>
      </c>
      <c r="P52">
        <f t="shared" si="7"/>
        <v>1110.5865293430809</v>
      </c>
      <c r="R52" s="4" t="s">
        <v>37</v>
      </c>
      <c r="S52" s="4">
        <v>119</v>
      </c>
      <c r="T52" s="4">
        <v>78747.007090121901</v>
      </c>
      <c r="U52" s="4">
        <v>661.73955537917561</v>
      </c>
      <c r="V52" s="4"/>
      <c r="W52" s="4"/>
    </row>
    <row r="53" spans="1:26" ht="14.65" thickBot="1" x14ac:dyDescent="0.5">
      <c r="A53">
        <f t="shared" si="8"/>
        <v>38</v>
      </c>
      <c r="B53">
        <f t="shared" si="9"/>
        <v>3.700000000000002</v>
      </c>
      <c r="C53">
        <f t="shared" si="10"/>
        <v>3.700000000000002</v>
      </c>
      <c r="D53">
        <f t="shared" si="0"/>
        <v>13.690000000000014</v>
      </c>
      <c r="E53">
        <f t="shared" si="1"/>
        <v>13.690000000000014</v>
      </c>
      <c r="F53">
        <f t="shared" si="2"/>
        <v>13.690000000000014</v>
      </c>
      <c r="G53">
        <f t="shared" si="3"/>
        <v>25.574373469612627</v>
      </c>
      <c r="H53">
        <v>-0.27630790100374725</v>
      </c>
      <c r="I53">
        <f t="shared" si="4"/>
        <v>18.343797116443607</v>
      </c>
      <c r="K53">
        <f t="shared" si="5"/>
        <v>24.623139816182039</v>
      </c>
      <c r="O53">
        <f t="shared" si="6"/>
        <v>-6.2793426997384323</v>
      </c>
      <c r="P53">
        <f t="shared" si="7"/>
        <v>39.430144740758344</v>
      </c>
      <c r="R53" s="5" t="s">
        <v>38</v>
      </c>
      <c r="S53" s="5">
        <v>123</v>
      </c>
      <c r="T53" s="5">
        <v>642778.90885299828</v>
      </c>
      <c r="U53" s="5"/>
      <c r="V53" s="5"/>
      <c r="W53" s="5"/>
    </row>
    <row r="54" spans="1:26" ht="14.65" thickBot="1" x14ac:dyDescent="0.5">
      <c r="A54">
        <f t="shared" si="8"/>
        <v>39</v>
      </c>
      <c r="B54">
        <f t="shared" si="9"/>
        <v>3.800000000000002</v>
      </c>
      <c r="C54">
        <f t="shared" si="10"/>
        <v>3.800000000000002</v>
      </c>
      <c r="D54">
        <f t="shared" si="0"/>
        <v>14.440000000000015</v>
      </c>
      <c r="E54">
        <f t="shared" si="1"/>
        <v>14.440000000000015</v>
      </c>
      <c r="F54">
        <f t="shared" si="2"/>
        <v>14.440000000000015</v>
      </c>
      <c r="G54">
        <f t="shared" si="3"/>
        <v>26.698070732341158</v>
      </c>
      <c r="H54">
        <v>0.5980268724670168</v>
      </c>
      <c r="I54">
        <f t="shared" si="4"/>
        <v>42.347565180062347</v>
      </c>
      <c r="K54">
        <f t="shared" si="5"/>
        <v>25.877504030013718</v>
      </c>
      <c r="O54">
        <f t="shared" si="6"/>
        <v>16.470061150048629</v>
      </c>
      <c r="P54">
        <f t="shared" si="7"/>
        <v>271.26291428634119</v>
      </c>
    </row>
    <row r="55" spans="1:26" x14ac:dyDescent="0.45">
      <c r="A55">
        <f t="shared" si="8"/>
        <v>40</v>
      </c>
      <c r="B55">
        <f t="shared" si="9"/>
        <v>3.9000000000000021</v>
      </c>
      <c r="C55">
        <f t="shared" si="10"/>
        <v>3.9000000000000021</v>
      </c>
      <c r="D55">
        <f t="shared" si="0"/>
        <v>15.210000000000017</v>
      </c>
      <c r="E55">
        <f t="shared" si="1"/>
        <v>15.210000000000017</v>
      </c>
      <c r="F55">
        <f t="shared" si="2"/>
        <v>15.210000000000017</v>
      </c>
      <c r="G55">
        <f t="shared" si="3"/>
        <v>27.849667453391316</v>
      </c>
      <c r="H55">
        <v>0.40014924707065802</v>
      </c>
      <c r="I55">
        <f t="shared" si="4"/>
        <v>38.320991918225381</v>
      </c>
      <c r="K55">
        <f t="shared" si="5"/>
        <v>27.15916717376383</v>
      </c>
      <c r="O55">
        <f t="shared" si="6"/>
        <v>11.161824744461551</v>
      </c>
      <c r="P55">
        <f t="shared" si="7"/>
        <v>124.58633162607417</v>
      </c>
      <c r="R55" s="6"/>
      <c r="S55" s="6" t="s">
        <v>45</v>
      </c>
      <c r="T55" s="6" t="s">
        <v>33</v>
      </c>
      <c r="U55" s="6" t="s">
        <v>46</v>
      </c>
      <c r="V55" s="6" t="s">
        <v>47</v>
      </c>
      <c r="W55" s="6" t="s">
        <v>48</v>
      </c>
      <c r="X55" s="6" t="s">
        <v>49</v>
      </c>
      <c r="Y55" s="6" t="s">
        <v>50</v>
      </c>
      <c r="Z55" s="6" t="s">
        <v>51</v>
      </c>
    </row>
    <row r="56" spans="1:26" x14ac:dyDescent="0.45">
      <c r="A56">
        <f t="shared" si="8"/>
        <v>41</v>
      </c>
      <c r="B56">
        <f t="shared" si="9"/>
        <v>4.0000000000000018</v>
      </c>
      <c r="C56">
        <f t="shared" si="10"/>
        <v>4.0000000000000018</v>
      </c>
      <c r="D56">
        <f t="shared" si="0"/>
        <v>16.000000000000014</v>
      </c>
      <c r="E56">
        <f t="shared" si="1"/>
        <v>16.000000000000014</v>
      </c>
      <c r="F56">
        <f t="shared" si="2"/>
        <v>16.000000000000014</v>
      </c>
      <c r="G56">
        <f t="shared" si="3"/>
        <v>29.02916363276309</v>
      </c>
      <c r="H56">
        <v>-0.6352206582960207</v>
      </c>
      <c r="I56">
        <f t="shared" si="4"/>
        <v>12.406361844487858</v>
      </c>
      <c r="K56">
        <f t="shared" si="5"/>
        <v>28.46812924743238</v>
      </c>
      <c r="O56">
        <f t="shared" si="6"/>
        <v>-16.061767402944522</v>
      </c>
      <c r="P56">
        <f t="shared" si="7"/>
        <v>257.98037210629121</v>
      </c>
      <c r="R56" s="4" t="s">
        <v>39</v>
      </c>
      <c r="S56" s="4">
        <v>-2.5967409166131858</v>
      </c>
      <c r="T56" s="4">
        <v>6.8739108541768967</v>
      </c>
      <c r="U56" s="4">
        <v>-0.37776761609227</v>
      </c>
      <c r="V56" s="4">
        <v>0.70627619074699555</v>
      </c>
      <c r="W56" s="4">
        <v>-16.207770949744898</v>
      </c>
      <c r="X56" s="4">
        <v>11.014289116518524</v>
      </c>
      <c r="Y56" s="4">
        <v>-16.207770949744898</v>
      </c>
      <c r="Z56" s="4">
        <v>11.014289116518524</v>
      </c>
    </row>
    <row r="57" spans="1:26" x14ac:dyDescent="0.45">
      <c r="A57">
        <f t="shared" si="8"/>
        <v>42</v>
      </c>
      <c r="B57">
        <f t="shared" si="9"/>
        <v>4.1000000000000014</v>
      </c>
      <c r="C57">
        <f t="shared" si="10"/>
        <v>4.1000000000000014</v>
      </c>
      <c r="D57">
        <f t="shared" si="0"/>
        <v>16.810000000000013</v>
      </c>
      <c r="E57">
        <f t="shared" si="1"/>
        <v>16.810000000000013</v>
      </c>
      <c r="F57">
        <f t="shared" si="2"/>
        <v>16.810000000000013</v>
      </c>
      <c r="G57">
        <f t="shared" si="3"/>
        <v>30.236559270456496</v>
      </c>
      <c r="H57">
        <v>-0.98742248155758716</v>
      </c>
      <c r="I57">
        <f t="shared" si="4"/>
        <v>4.3971474411113149</v>
      </c>
      <c r="K57">
        <f t="shared" si="5"/>
        <v>29.804390251019367</v>
      </c>
      <c r="O57">
        <f t="shared" si="6"/>
        <v>-25.407242809908052</v>
      </c>
      <c r="P57">
        <f t="shared" si="7"/>
        <v>645.52798720162434</v>
      </c>
      <c r="R57" s="4" t="s">
        <v>52</v>
      </c>
      <c r="S57" s="4">
        <v>0</v>
      </c>
      <c r="T57" s="4">
        <v>0</v>
      </c>
      <c r="U57" s="4">
        <v>65535</v>
      </c>
      <c r="V57" s="4" t="e">
        <v>#NUM!</v>
      </c>
      <c r="W57" s="4">
        <v>0</v>
      </c>
      <c r="X57" s="4">
        <v>0</v>
      </c>
      <c r="Y57" s="4">
        <v>0</v>
      </c>
      <c r="Z57" s="4">
        <v>0</v>
      </c>
    </row>
    <row r="58" spans="1:26" x14ac:dyDescent="0.45">
      <c r="A58">
        <f t="shared" si="8"/>
        <v>43</v>
      </c>
      <c r="B58">
        <f t="shared" si="9"/>
        <v>4.2000000000000011</v>
      </c>
      <c r="C58">
        <f t="shared" si="10"/>
        <v>4.2000000000000011</v>
      </c>
      <c r="D58">
        <f t="shared" si="0"/>
        <v>17.640000000000008</v>
      </c>
      <c r="E58">
        <f t="shared" si="1"/>
        <v>17.640000000000008</v>
      </c>
      <c r="F58">
        <f t="shared" si="2"/>
        <v>17.640000000000008</v>
      </c>
      <c r="G58">
        <f t="shared" si="3"/>
        <v>31.471854366471522</v>
      </c>
      <c r="H58">
        <v>-1.5895238902885467</v>
      </c>
      <c r="I58">
        <f t="shared" si="4"/>
        <v>-10.123676605195211</v>
      </c>
      <c r="K58">
        <f t="shared" si="5"/>
        <v>31.167950184524791</v>
      </c>
      <c r="O58">
        <f t="shared" si="6"/>
        <v>-41.291626789719999</v>
      </c>
      <c r="P58">
        <f t="shared" si="7"/>
        <v>1704.9984429415222</v>
      </c>
      <c r="R58" s="4" t="s">
        <v>58</v>
      </c>
      <c r="S58" s="4">
        <v>2.306306985934949</v>
      </c>
      <c r="T58" s="4">
        <v>2.6252722160194892</v>
      </c>
      <c r="U58" s="4">
        <v>0.87850203566007179</v>
      </c>
      <c r="V58" s="4" t="e">
        <v>#NUM!</v>
      </c>
      <c r="W58" s="4">
        <v>-2.8919942046710858</v>
      </c>
      <c r="X58" s="4">
        <v>7.5046081765409838</v>
      </c>
      <c r="Y58" s="4">
        <v>-2.8919942046710858</v>
      </c>
      <c r="Z58" s="4">
        <v>7.5046081765409838</v>
      </c>
    </row>
    <row r="59" spans="1:26" x14ac:dyDescent="0.45">
      <c r="A59">
        <f t="shared" si="8"/>
        <v>44</v>
      </c>
      <c r="B59">
        <f t="shared" si="9"/>
        <v>4.3000000000000007</v>
      </c>
      <c r="C59">
        <f t="shared" si="10"/>
        <v>4.3000000000000007</v>
      </c>
      <c r="D59">
        <f t="shared" si="0"/>
        <v>18.490000000000006</v>
      </c>
      <c r="E59">
        <f t="shared" si="1"/>
        <v>18.490000000000006</v>
      </c>
      <c r="F59">
        <f t="shared" si="2"/>
        <v>18.490000000000006</v>
      </c>
      <c r="G59">
        <f t="shared" si="3"/>
        <v>32.735048920808183</v>
      </c>
      <c r="H59">
        <v>0.98779764812206849</v>
      </c>
      <c r="I59">
        <f t="shared" si="4"/>
        <v>58.584278314109312</v>
      </c>
      <c r="K59">
        <f t="shared" si="5"/>
        <v>32.558809047948657</v>
      </c>
      <c r="O59">
        <f t="shared" si="6"/>
        <v>26.025469266160655</v>
      </c>
      <c r="P59">
        <f t="shared" si="7"/>
        <v>677.32505052387285</v>
      </c>
      <c r="R59" s="4" t="s">
        <v>75</v>
      </c>
      <c r="S59" s="4">
        <v>1.3649653812633145</v>
      </c>
      <c r="T59" s="4">
        <v>0.2099680323437513</v>
      </c>
      <c r="U59" s="4">
        <v>6.5008247494963776</v>
      </c>
      <c r="V59" s="4">
        <v>1.956847240749778E-9</v>
      </c>
      <c r="W59" s="4">
        <v>0.94920770635954521</v>
      </c>
      <c r="X59" s="4">
        <v>1.7807230561670837</v>
      </c>
      <c r="Y59" s="4">
        <v>0.94920770635954521</v>
      </c>
      <c r="Z59" s="4">
        <v>1.7807230561670837</v>
      </c>
    </row>
    <row r="60" spans="1:26" ht="14.65" thickBot="1" x14ac:dyDescent="0.5">
      <c r="A60">
        <f t="shared" si="8"/>
        <v>45</v>
      </c>
      <c r="B60">
        <f t="shared" si="9"/>
        <v>4.4000000000000004</v>
      </c>
      <c r="C60">
        <f t="shared" si="10"/>
        <v>4.4000000000000004</v>
      </c>
      <c r="D60">
        <f t="shared" si="0"/>
        <v>19.360000000000003</v>
      </c>
      <c r="E60">
        <f t="shared" si="1"/>
        <v>19.360000000000003</v>
      </c>
      <c r="F60">
        <f t="shared" si="2"/>
        <v>19.360000000000003</v>
      </c>
      <c r="G60">
        <f t="shared" si="3"/>
        <v>34.02614293346646</v>
      </c>
      <c r="H60">
        <v>1.1586735126911663</v>
      </c>
      <c r="I60">
        <f t="shared" si="4"/>
        <v>64.346945456570609</v>
      </c>
      <c r="K60">
        <f t="shared" si="5"/>
        <v>33.976966841290967</v>
      </c>
      <c r="O60">
        <f t="shared" si="6"/>
        <v>30.369978615279642</v>
      </c>
      <c r="P60">
        <f t="shared" si="7"/>
        <v>922.33560109254279</v>
      </c>
      <c r="R60" s="5" t="s">
        <v>76</v>
      </c>
      <c r="S60" s="5">
        <v>0</v>
      </c>
      <c r="T60" s="5">
        <v>0</v>
      </c>
      <c r="U60" s="5">
        <v>65535</v>
      </c>
      <c r="V60" s="5" t="e">
        <v>#NUM!</v>
      </c>
      <c r="W60" s="5">
        <v>0</v>
      </c>
      <c r="X60" s="5">
        <v>0</v>
      </c>
      <c r="Y60" s="5">
        <v>0</v>
      </c>
      <c r="Z60" s="5">
        <v>0</v>
      </c>
    </row>
    <row r="61" spans="1:26" x14ac:dyDescent="0.45">
      <c r="A61">
        <f t="shared" si="8"/>
        <v>46</v>
      </c>
      <c r="B61">
        <f t="shared" si="9"/>
        <v>4.5</v>
      </c>
      <c r="C61">
        <f t="shared" si="10"/>
        <v>4.5</v>
      </c>
      <c r="D61">
        <f t="shared" si="0"/>
        <v>20.25</v>
      </c>
      <c r="E61">
        <f t="shared" si="1"/>
        <v>20.25</v>
      </c>
      <c r="F61">
        <f t="shared" si="2"/>
        <v>20.25</v>
      </c>
      <c r="G61">
        <f t="shared" si="3"/>
        <v>35.345136404446365</v>
      </c>
      <c r="H61">
        <v>0.71586555350222625</v>
      </c>
      <c r="I61">
        <f t="shared" si="4"/>
        <v>54.078297940537411</v>
      </c>
      <c r="K61">
        <f t="shared" si="5"/>
        <v>35.422423564551707</v>
      </c>
      <c r="O61">
        <f t="shared" si="6"/>
        <v>18.655874375985704</v>
      </c>
      <c r="P61">
        <f t="shared" si="7"/>
        <v>348.04164873255996</v>
      </c>
    </row>
    <row r="62" spans="1:26" x14ac:dyDescent="0.45">
      <c r="A62">
        <f t="shared" si="8"/>
        <v>47</v>
      </c>
      <c r="B62">
        <f t="shared" si="9"/>
        <v>4.5999999999999996</v>
      </c>
      <c r="C62">
        <f t="shared" si="10"/>
        <v>4.5999999999999996</v>
      </c>
      <c r="D62">
        <f t="shared" si="0"/>
        <v>21.159999999999997</v>
      </c>
      <c r="E62">
        <f t="shared" si="1"/>
        <v>21.159999999999997</v>
      </c>
      <c r="F62">
        <f t="shared" si="2"/>
        <v>21.159999999999997</v>
      </c>
      <c r="G62">
        <f t="shared" si="3"/>
        <v>36.692029333747904</v>
      </c>
      <c r="H62">
        <v>-1.139869709732011</v>
      </c>
      <c r="I62">
        <f t="shared" si="4"/>
        <v>6.8632950161934509</v>
      </c>
      <c r="K62">
        <f t="shared" si="5"/>
        <v>36.895179217730899</v>
      </c>
      <c r="O62">
        <f t="shared" si="6"/>
        <v>-30.031884201537448</v>
      </c>
      <c r="P62">
        <f t="shared" si="7"/>
        <v>901.91406869455454</v>
      </c>
      <c r="R62" t="s">
        <v>77</v>
      </c>
    </row>
    <row r="63" spans="1:26" x14ac:dyDescent="0.45">
      <c r="A63">
        <f t="shared" si="8"/>
        <v>48</v>
      </c>
      <c r="B63">
        <f t="shared" si="9"/>
        <v>4.6999999999999993</v>
      </c>
      <c r="C63">
        <f t="shared" si="10"/>
        <v>4.6999999999999993</v>
      </c>
      <c r="D63">
        <f t="shared" si="0"/>
        <v>22.089999999999993</v>
      </c>
      <c r="E63">
        <f t="shared" si="1"/>
        <v>22.089999999999993</v>
      </c>
      <c r="F63">
        <f t="shared" si="2"/>
        <v>22.089999999999993</v>
      </c>
      <c r="G63">
        <f t="shared" si="3"/>
        <v>38.066821721371056</v>
      </c>
      <c r="H63">
        <v>-0.29255829758767504</v>
      </c>
      <c r="I63">
        <f t="shared" si="4"/>
        <v>30.410996097940401</v>
      </c>
      <c r="K63">
        <f t="shared" si="5"/>
        <v>38.395233800828521</v>
      </c>
      <c r="O63">
        <f t="shared" si="6"/>
        <v>-7.9842377028881195</v>
      </c>
      <c r="P63">
        <f t="shared" si="7"/>
        <v>63.748051696220152</v>
      </c>
      <c r="R63" t="s">
        <v>28</v>
      </c>
    </row>
    <row r="64" spans="1:26" ht="14.65" thickBot="1" x14ac:dyDescent="0.5">
      <c r="A64">
        <f t="shared" si="8"/>
        <v>49</v>
      </c>
      <c r="B64">
        <f t="shared" si="9"/>
        <v>4.7999999999999989</v>
      </c>
      <c r="C64">
        <f t="shared" si="10"/>
        <v>4.7999999999999989</v>
      </c>
      <c r="D64">
        <f t="shared" si="0"/>
        <v>23.039999999999988</v>
      </c>
      <c r="E64">
        <f t="shared" si="1"/>
        <v>23.039999999999988</v>
      </c>
      <c r="F64">
        <f t="shared" si="2"/>
        <v>23.039999999999988</v>
      </c>
      <c r="G64">
        <f t="shared" si="3"/>
        <v>39.469513567315843</v>
      </c>
      <c r="H64">
        <v>0.84921111920266412</v>
      </c>
      <c r="I64">
        <f t="shared" si="4"/>
        <v>61.692134835289309</v>
      </c>
      <c r="K64">
        <f t="shared" si="5"/>
        <v>39.922587313844588</v>
      </c>
      <c r="O64">
        <f t="shared" si="6"/>
        <v>21.769547521444721</v>
      </c>
      <c r="P64">
        <f t="shared" si="7"/>
        <v>473.91319928844001</v>
      </c>
    </row>
    <row r="65" spans="1:26" x14ac:dyDescent="0.45">
      <c r="A65">
        <f t="shared" si="8"/>
        <v>50</v>
      </c>
      <c r="B65">
        <f t="shared" si="9"/>
        <v>4.8999999999999986</v>
      </c>
      <c r="C65">
        <f t="shared" si="10"/>
        <v>4.8999999999999986</v>
      </c>
      <c r="D65">
        <f t="shared" si="0"/>
        <v>24.009999999999987</v>
      </c>
      <c r="E65">
        <f t="shared" si="1"/>
        <v>24.009999999999987</v>
      </c>
      <c r="F65">
        <f t="shared" si="2"/>
        <v>24.009999999999987</v>
      </c>
      <c r="G65">
        <f t="shared" si="3"/>
        <v>40.900104871582258</v>
      </c>
      <c r="H65">
        <v>0.68797135099885054</v>
      </c>
      <c r="I65">
        <f t="shared" si="4"/>
        <v>58.903315652451568</v>
      </c>
      <c r="K65">
        <f t="shared" si="5"/>
        <v>41.477239756779092</v>
      </c>
      <c r="O65">
        <f t="shared" si="6"/>
        <v>17.426075895672476</v>
      </c>
      <c r="P65">
        <f t="shared" si="7"/>
        <v>303.66812112173727</v>
      </c>
      <c r="R65" s="7" t="s">
        <v>29</v>
      </c>
      <c r="S65" s="7"/>
    </row>
    <row r="66" spans="1:26" x14ac:dyDescent="0.45">
      <c r="A66">
        <f t="shared" si="8"/>
        <v>51</v>
      </c>
      <c r="B66">
        <f t="shared" si="9"/>
        <v>4.9999999999999982</v>
      </c>
      <c r="C66">
        <f t="shared" si="10"/>
        <v>4.9999999999999982</v>
      </c>
      <c r="D66">
        <f t="shared" si="0"/>
        <v>24.999999999999982</v>
      </c>
      <c r="E66">
        <f t="shared" si="1"/>
        <v>24.999999999999982</v>
      </c>
      <c r="F66">
        <f t="shared" si="2"/>
        <v>24.999999999999982</v>
      </c>
      <c r="G66">
        <f t="shared" si="3"/>
        <v>42.358595634170292</v>
      </c>
      <c r="H66">
        <v>-9.5346877060364932E-2</v>
      </c>
      <c r="I66">
        <f t="shared" si="4"/>
        <v>39.863506380056499</v>
      </c>
      <c r="K66">
        <f t="shared" si="5"/>
        <v>43.059191129632026</v>
      </c>
      <c r="O66">
        <f t="shared" si="6"/>
        <v>-3.195684749575527</v>
      </c>
      <c r="P66">
        <f t="shared" si="7"/>
        <v>10.212401018669599</v>
      </c>
      <c r="R66" s="4" t="s">
        <v>30</v>
      </c>
      <c r="S66" s="4">
        <v>0.93674422681201364</v>
      </c>
    </row>
    <row r="67" spans="1:26" x14ac:dyDescent="0.45">
      <c r="A67">
        <f t="shared" si="8"/>
        <v>52</v>
      </c>
      <c r="B67">
        <f t="shared" si="9"/>
        <v>5.0999999999999979</v>
      </c>
      <c r="C67">
        <f t="shared" si="10"/>
        <v>5.0999999999999979</v>
      </c>
      <c r="D67">
        <f t="shared" si="0"/>
        <v>26.009999999999977</v>
      </c>
      <c r="E67">
        <f t="shared" si="1"/>
        <v>26.009999999999977</v>
      </c>
      <c r="F67">
        <f t="shared" si="2"/>
        <v>26.009999999999977</v>
      </c>
      <c r="G67">
        <f t="shared" si="3"/>
        <v>43.844985855079955</v>
      </c>
      <c r="H67">
        <v>0.30623937163909432</v>
      </c>
      <c r="I67">
        <f t="shared" si="4"/>
        <v>51.858825310770889</v>
      </c>
      <c r="K67">
        <f t="shared" si="5"/>
        <v>44.668441432403412</v>
      </c>
      <c r="O67">
        <f t="shared" si="6"/>
        <v>7.1903838783674772</v>
      </c>
      <c r="P67">
        <f t="shared" si="7"/>
        <v>51.701620318286921</v>
      </c>
      <c r="R67" s="4" t="s">
        <v>31</v>
      </c>
      <c r="S67" s="4">
        <v>0.87748974646563727</v>
      </c>
    </row>
    <row r="68" spans="1:26" x14ac:dyDescent="0.45">
      <c r="A68">
        <f t="shared" si="8"/>
        <v>53</v>
      </c>
      <c r="B68">
        <f t="shared" si="9"/>
        <v>5.1999999999999975</v>
      </c>
      <c r="C68">
        <f t="shared" si="10"/>
        <v>5.1999999999999975</v>
      </c>
      <c r="D68">
        <f t="shared" si="0"/>
        <v>27.039999999999974</v>
      </c>
      <c r="E68">
        <f t="shared" si="1"/>
        <v>27.039999999999974</v>
      </c>
      <c r="F68">
        <f t="shared" si="2"/>
        <v>27.039999999999974</v>
      </c>
      <c r="G68">
        <f t="shared" si="3"/>
        <v>45.359275534311244</v>
      </c>
      <c r="H68">
        <v>1.1672477739921305</v>
      </c>
      <c r="I68">
        <f t="shared" si="4"/>
        <v>75.904454019099546</v>
      </c>
      <c r="K68">
        <f t="shared" si="5"/>
        <v>46.304990665093243</v>
      </c>
      <c r="O68">
        <f t="shared" si="6"/>
        <v>29.599463354006303</v>
      </c>
      <c r="P68">
        <f t="shared" si="7"/>
        <v>876.12823084516208</v>
      </c>
      <c r="R68" s="4" t="s">
        <v>32</v>
      </c>
      <c r="S68" s="4">
        <v>0.8502206665743034</v>
      </c>
    </row>
    <row r="69" spans="1:26" x14ac:dyDescent="0.45">
      <c r="A69">
        <f t="shared" si="8"/>
        <v>54</v>
      </c>
      <c r="B69">
        <f t="shared" si="9"/>
        <v>5.2999999999999972</v>
      </c>
      <c r="C69">
        <f t="shared" si="10"/>
        <v>5.2999999999999972</v>
      </c>
      <c r="D69">
        <f t="shared" si="0"/>
        <v>28.089999999999971</v>
      </c>
      <c r="E69">
        <f t="shared" si="1"/>
        <v>28.089999999999971</v>
      </c>
      <c r="F69">
        <f t="shared" si="2"/>
        <v>28.089999999999971</v>
      </c>
      <c r="G69">
        <f t="shared" si="3"/>
        <v>46.901464671864169</v>
      </c>
      <c r="H69">
        <v>0.44591388359549455</v>
      </c>
      <c r="I69">
        <f t="shared" si="4"/>
        <v>58.570383188355017</v>
      </c>
      <c r="K69">
        <f t="shared" si="5"/>
        <v>47.968838827701497</v>
      </c>
      <c r="O69">
        <f t="shared" si="6"/>
        <v>10.60154436065352</v>
      </c>
      <c r="P69">
        <f t="shared" si="7"/>
        <v>112.39274283090445</v>
      </c>
      <c r="R69" s="4" t="s">
        <v>33</v>
      </c>
      <c r="S69" s="4">
        <v>25.724298928817781</v>
      </c>
    </row>
    <row r="70" spans="1:26" ht="14.65" thickBot="1" x14ac:dyDescent="0.5">
      <c r="A70">
        <f t="shared" si="8"/>
        <v>55</v>
      </c>
      <c r="B70">
        <f t="shared" si="9"/>
        <v>5.3999999999999968</v>
      </c>
      <c r="C70">
        <f t="shared" si="10"/>
        <v>5.3999999999999968</v>
      </c>
      <c r="D70">
        <f t="shared" si="0"/>
        <v>29.159999999999965</v>
      </c>
      <c r="E70">
        <f t="shared" si="1"/>
        <v>29.159999999999965</v>
      </c>
      <c r="F70">
        <f t="shared" si="2"/>
        <v>29.159999999999965</v>
      </c>
      <c r="G70">
        <f t="shared" si="3"/>
        <v>48.471553267738706</v>
      </c>
      <c r="H70">
        <v>0.79053961599129252</v>
      </c>
      <c r="I70">
        <f t="shared" si="4"/>
        <v>69.158826533776931</v>
      </c>
      <c r="K70">
        <f t="shared" si="5"/>
        <v>49.659985920228195</v>
      </c>
      <c r="O70">
        <f t="shared" si="6"/>
        <v>19.498840613548737</v>
      </c>
      <c r="P70">
        <f t="shared" si="7"/>
        <v>380.20478527257768</v>
      </c>
      <c r="R70" s="5" t="s">
        <v>34</v>
      </c>
      <c r="S70" s="5">
        <v>122</v>
      </c>
    </row>
    <row r="71" spans="1:26" x14ac:dyDescent="0.45">
      <c r="A71">
        <f t="shared" si="8"/>
        <v>56</v>
      </c>
      <c r="B71">
        <f t="shared" si="9"/>
        <v>5.4999999999999964</v>
      </c>
      <c r="C71">
        <f t="shared" si="10"/>
        <v>5.4999999999999964</v>
      </c>
      <c r="D71">
        <f t="shared" si="0"/>
        <v>30.249999999999961</v>
      </c>
      <c r="E71">
        <f t="shared" si="1"/>
        <v>30.249999999999961</v>
      </c>
      <c r="F71">
        <f t="shared" si="2"/>
        <v>30.249999999999961</v>
      </c>
      <c r="G71">
        <f t="shared" si="3"/>
        <v>50.069541321934878</v>
      </c>
      <c r="H71">
        <v>1.1089218787674326</v>
      </c>
      <c r="I71">
        <f t="shared" si="4"/>
        <v>79.088415863704938</v>
      </c>
      <c r="K71">
        <f t="shared" si="5"/>
        <v>51.378431942673338</v>
      </c>
      <c r="O71">
        <f t="shared" si="6"/>
        <v>27.709983921031601</v>
      </c>
      <c r="P71">
        <f t="shared" si="7"/>
        <v>767.8432089038298</v>
      </c>
    </row>
    <row r="72" spans="1:26" ht="14.65" thickBot="1" x14ac:dyDescent="0.5">
      <c r="A72">
        <f t="shared" si="8"/>
        <v>57</v>
      </c>
      <c r="B72">
        <f t="shared" si="9"/>
        <v>5.5999999999999961</v>
      </c>
      <c r="C72">
        <f t="shared" si="10"/>
        <v>5.5999999999999961</v>
      </c>
      <c r="D72">
        <f t="shared" si="0"/>
        <v>31.359999999999957</v>
      </c>
      <c r="E72">
        <f t="shared" si="1"/>
        <v>31.359999999999957</v>
      </c>
      <c r="F72">
        <f t="shared" si="2"/>
        <v>31.359999999999957</v>
      </c>
      <c r="G72">
        <f t="shared" si="3"/>
        <v>51.695428834452663</v>
      </c>
      <c r="H72">
        <v>-1.0340863809688017</v>
      </c>
      <c r="I72">
        <f t="shared" si="4"/>
        <v>24.634890550150232</v>
      </c>
      <c r="K72">
        <f t="shared" si="5"/>
        <v>53.124176895036918</v>
      </c>
      <c r="O72">
        <f t="shared" si="6"/>
        <v>-28.489286344886686</v>
      </c>
      <c r="P72">
        <f t="shared" si="7"/>
        <v>811.63943644094695</v>
      </c>
      <c r="R72" t="s">
        <v>35</v>
      </c>
    </row>
    <row r="73" spans="1:26" x14ac:dyDescent="0.45">
      <c r="A73">
        <f t="shared" si="8"/>
        <v>58</v>
      </c>
      <c r="B73">
        <f t="shared" si="9"/>
        <v>5.6999999999999957</v>
      </c>
      <c r="C73">
        <f t="shared" si="10"/>
        <v>5.6999999999999957</v>
      </c>
      <c r="D73">
        <f t="shared" si="0"/>
        <v>32.489999999999952</v>
      </c>
      <c r="E73">
        <f t="shared" si="1"/>
        <v>32.489999999999952</v>
      </c>
      <c r="F73">
        <f t="shared" si="2"/>
        <v>32.489999999999952</v>
      </c>
      <c r="G73">
        <f t="shared" si="3"/>
        <v>53.34921580529209</v>
      </c>
      <c r="H73">
        <v>1.0414260032121092</v>
      </c>
      <c r="I73">
        <f t="shared" si="4"/>
        <v>80.601821340805458</v>
      </c>
      <c r="K73">
        <f t="shared" si="5"/>
        <v>54.897220777318935</v>
      </c>
      <c r="O73">
        <f t="shared" si="6"/>
        <v>25.704600563486522</v>
      </c>
      <c r="P73">
        <f t="shared" si="7"/>
        <v>660.72649012839167</v>
      </c>
      <c r="R73" s="6"/>
      <c r="S73" s="6" t="s">
        <v>40</v>
      </c>
      <c r="T73" s="6" t="s">
        <v>41</v>
      </c>
      <c r="U73" s="6" t="s">
        <v>42</v>
      </c>
      <c r="V73" s="6" t="s">
        <v>43</v>
      </c>
      <c r="W73" s="6" t="s">
        <v>44</v>
      </c>
    </row>
    <row r="74" spans="1:26" x14ac:dyDescent="0.45">
      <c r="A74">
        <f t="shared" si="8"/>
        <v>59</v>
      </c>
      <c r="B74">
        <f t="shared" si="9"/>
        <v>5.7999999999999954</v>
      </c>
      <c r="C74">
        <f t="shared" si="10"/>
        <v>5.7999999999999954</v>
      </c>
      <c r="D74">
        <f t="shared" si="0"/>
        <v>33.639999999999944</v>
      </c>
      <c r="E74">
        <f t="shared" si="1"/>
        <v>33.639999999999944</v>
      </c>
      <c r="F74">
        <f t="shared" si="2"/>
        <v>33.639999999999944</v>
      </c>
      <c r="G74">
        <f t="shared" si="3"/>
        <v>55.03090223445313</v>
      </c>
      <c r="H74">
        <v>-0.89235300038126297</v>
      </c>
      <c r="I74">
        <f t="shared" si="4"/>
        <v>31.679320611933107</v>
      </c>
      <c r="K74">
        <f t="shared" si="5"/>
        <v>56.69756358951939</v>
      </c>
      <c r="O74">
        <f t="shared" si="6"/>
        <v>-25.018242977586283</v>
      </c>
      <c r="P74">
        <f t="shared" si="7"/>
        <v>625.91248168554534</v>
      </c>
      <c r="R74" s="4" t="s">
        <v>36</v>
      </c>
      <c r="S74" s="4">
        <v>5</v>
      </c>
      <c r="T74" s="4">
        <v>564031.90176287643</v>
      </c>
      <c r="U74" s="4">
        <v>112806.38035257529</v>
      </c>
      <c r="V74" s="4">
        <v>426.17363370373647</v>
      </c>
      <c r="W74" s="4">
        <v>7.0553593842610188E-73</v>
      </c>
    </row>
    <row r="75" spans="1:26" x14ac:dyDescent="0.45">
      <c r="A75">
        <f t="shared" si="8"/>
        <v>60</v>
      </c>
      <c r="B75">
        <f t="shared" si="9"/>
        <v>5.899999999999995</v>
      </c>
      <c r="C75">
        <f t="shared" si="10"/>
        <v>5.899999999999995</v>
      </c>
      <c r="D75">
        <f t="shared" si="0"/>
        <v>34.809999999999938</v>
      </c>
      <c r="E75">
        <f t="shared" si="1"/>
        <v>34.809999999999938</v>
      </c>
      <c r="F75">
        <f t="shared" si="2"/>
        <v>34.809999999999938</v>
      </c>
      <c r="G75">
        <f t="shared" si="3"/>
        <v>56.740488121935805</v>
      </c>
      <c r="H75">
        <v>-1.4082320376473945</v>
      </c>
      <c r="I75">
        <f t="shared" si="4"/>
        <v>19.889101555721815</v>
      </c>
      <c r="K75">
        <f t="shared" si="5"/>
        <v>58.52520533163829</v>
      </c>
      <c r="O75">
        <f t="shared" si="6"/>
        <v>-38.636103775916474</v>
      </c>
      <c r="P75">
        <f t="shared" si="7"/>
        <v>1492.7485149833872</v>
      </c>
      <c r="R75" s="4" t="s">
        <v>37</v>
      </c>
      <c r="S75" s="4">
        <v>119</v>
      </c>
      <c r="T75" s="4">
        <v>78747.007090121901</v>
      </c>
      <c r="U75" s="4">
        <v>661.73955537917561</v>
      </c>
      <c r="V75" s="4"/>
      <c r="W75" s="4"/>
    </row>
    <row r="76" spans="1:26" ht="14.65" thickBot="1" x14ac:dyDescent="0.5">
      <c r="A76">
        <f t="shared" si="8"/>
        <v>61</v>
      </c>
      <c r="B76">
        <f t="shared" si="9"/>
        <v>5.9999999999999947</v>
      </c>
      <c r="C76">
        <f t="shared" si="10"/>
        <v>5.9999999999999947</v>
      </c>
      <c r="D76">
        <f t="shared" si="0"/>
        <v>35.999999999999936</v>
      </c>
      <c r="E76">
        <f t="shared" si="1"/>
        <v>35.999999999999936</v>
      </c>
      <c r="F76">
        <f t="shared" si="2"/>
        <v>35.999999999999936</v>
      </c>
      <c r="G76">
        <f t="shared" si="3"/>
        <v>58.4779734677401</v>
      </c>
      <c r="H76">
        <v>0.19893832359230146</v>
      </c>
      <c r="I76">
        <f t="shared" si="4"/>
        <v>63.683900381448126</v>
      </c>
      <c r="K76">
        <f t="shared" si="5"/>
        <v>60.380146003675634</v>
      </c>
      <c r="O76">
        <f t="shared" si="6"/>
        <v>3.303754377772492</v>
      </c>
      <c r="P76">
        <f t="shared" si="7"/>
        <v>10.914792988650905</v>
      </c>
      <c r="R76" s="5" t="s">
        <v>38</v>
      </c>
      <c r="S76" s="5">
        <v>124</v>
      </c>
      <c r="T76" s="5">
        <v>642778.90885299828</v>
      </c>
      <c r="U76" s="5"/>
      <c r="V76" s="5"/>
      <c r="W76" s="5"/>
    </row>
    <row r="77" spans="1:26" ht="14.65" thickBot="1" x14ac:dyDescent="0.5">
      <c r="A77">
        <f t="shared" si="8"/>
        <v>62</v>
      </c>
      <c r="B77">
        <f t="shared" si="9"/>
        <v>6.0999999999999943</v>
      </c>
      <c r="C77">
        <f t="shared" si="10"/>
        <v>6.0999999999999943</v>
      </c>
      <c r="D77">
        <f t="shared" si="0"/>
        <v>37.20999999999993</v>
      </c>
      <c r="E77">
        <f t="shared" si="1"/>
        <v>37.20999999999993</v>
      </c>
      <c r="F77">
        <f t="shared" si="2"/>
        <v>37.20999999999993</v>
      </c>
      <c r="G77">
        <f t="shared" si="3"/>
        <v>60.243358271866029</v>
      </c>
      <c r="H77">
        <v>-0.20588799998222385</v>
      </c>
      <c r="I77">
        <f t="shared" si="4"/>
        <v>54.85556842342249</v>
      </c>
      <c r="K77">
        <f t="shared" si="5"/>
        <v>62.262385605631401</v>
      </c>
      <c r="O77">
        <f t="shared" si="6"/>
        <v>-7.4068171822089113</v>
      </c>
      <c r="P77">
        <f t="shared" si="7"/>
        <v>54.86094077066516</v>
      </c>
    </row>
    <row r="78" spans="1:26" x14ac:dyDescent="0.45">
      <c r="A78">
        <f t="shared" si="8"/>
        <v>63</v>
      </c>
      <c r="B78">
        <f t="shared" si="9"/>
        <v>6.199999999999994</v>
      </c>
      <c r="C78">
        <f t="shared" si="10"/>
        <v>6.199999999999994</v>
      </c>
      <c r="D78">
        <f t="shared" si="0"/>
        <v>38.439999999999927</v>
      </c>
      <c r="E78">
        <f t="shared" si="1"/>
        <v>38.439999999999927</v>
      </c>
      <c r="F78">
        <f t="shared" si="2"/>
        <v>38.439999999999927</v>
      </c>
      <c r="G78">
        <f t="shared" si="3"/>
        <v>62.036642534313586</v>
      </c>
      <c r="H78">
        <v>0.69857605922152288</v>
      </c>
      <c r="I78">
        <f t="shared" si="4"/>
        <v>80.317363123004398</v>
      </c>
      <c r="K78">
        <f t="shared" si="5"/>
        <v>64.171924137505627</v>
      </c>
      <c r="O78">
        <f t="shared" si="6"/>
        <v>16.145438985498771</v>
      </c>
      <c r="P78">
        <f t="shared" si="7"/>
        <v>260.67520003446356</v>
      </c>
      <c r="R78" s="6"/>
      <c r="S78" s="6" t="s">
        <v>45</v>
      </c>
      <c r="T78" s="6" t="s">
        <v>33</v>
      </c>
      <c r="U78" s="6" t="s">
        <v>46</v>
      </c>
      <c r="V78" s="6" t="s">
        <v>47</v>
      </c>
      <c r="W78" s="6" t="s">
        <v>48</v>
      </c>
      <c r="X78" s="6" t="s">
        <v>49</v>
      </c>
      <c r="Y78" s="6" t="s">
        <v>50</v>
      </c>
      <c r="Z78" s="6" t="s">
        <v>51</v>
      </c>
    </row>
    <row r="79" spans="1:26" x14ac:dyDescent="0.45">
      <c r="A79">
        <f t="shared" si="8"/>
        <v>64</v>
      </c>
      <c r="B79">
        <f t="shared" si="9"/>
        <v>6.2999999999999936</v>
      </c>
      <c r="C79">
        <f t="shared" si="10"/>
        <v>6.2999999999999936</v>
      </c>
      <c r="D79">
        <f t="shared" si="0"/>
        <v>39.68999999999992</v>
      </c>
      <c r="E79">
        <f t="shared" si="1"/>
        <v>39.68999999999992</v>
      </c>
      <c r="F79">
        <f t="shared" si="2"/>
        <v>39.68999999999992</v>
      </c>
      <c r="G79">
        <f t="shared" si="3"/>
        <v>63.857826255082756</v>
      </c>
      <c r="H79">
        <v>-1.6020976545405574</v>
      </c>
      <c r="I79">
        <f t="shared" si="4"/>
        <v>21.933258139922692</v>
      </c>
      <c r="K79">
        <f t="shared" si="5"/>
        <v>66.108761599298276</v>
      </c>
      <c r="O79">
        <f t="shared" si="6"/>
        <v>-44.175503459375584</v>
      </c>
      <c r="P79">
        <f t="shared" si="7"/>
        <v>1951.4751058893041</v>
      </c>
      <c r="R79" s="4" t="s">
        <v>39</v>
      </c>
      <c r="S79" s="4">
        <v>-2.5967409166131858</v>
      </c>
      <c r="T79" s="4">
        <v>6.8739108541768967</v>
      </c>
      <c r="U79" s="4">
        <v>-0.37776761609227</v>
      </c>
      <c r="V79" s="4">
        <v>0.70627619074699555</v>
      </c>
      <c r="W79" s="4">
        <v>-16.207770949744898</v>
      </c>
      <c r="X79" s="4">
        <v>11.014289116518524</v>
      </c>
      <c r="Y79" s="4">
        <v>-16.207770949744898</v>
      </c>
      <c r="Z79" s="4">
        <v>11.014289116518524</v>
      </c>
    </row>
    <row r="80" spans="1:26" x14ac:dyDescent="0.45">
      <c r="A80">
        <f t="shared" si="8"/>
        <v>65</v>
      </c>
      <c r="B80">
        <f t="shared" si="9"/>
        <v>6.3999999999999932</v>
      </c>
      <c r="C80">
        <f t="shared" si="10"/>
        <v>6.3999999999999932</v>
      </c>
      <c r="D80">
        <f t="shared" si="0"/>
        <v>40.959999999999916</v>
      </c>
      <c r="E80">
        <f t="shared" si="1"/>
        <v>40.959999999999916</v>
      </c>
      <c r="F80">
        <f t="shared" si="2"/>
        <v>40.959999999999916</v>
      </c>
      <c r="G80">
        <f t="shared" si="3"/>
        <v>65.706909434173568</v>
      </c>
      <c r="H80">
        <v>-1.5906061889836565</v>
      </c>
      <c r="I80">
        <f t="shared" si="4"/>
        <v>24.08305627800361</v>
      </c>
      <c r="K80">
        <f t="shared" si="5"/>
        <v>68.07289799100937</v>
      </c>
      <c r="O80">
        <f t="shared" si="6"/>
        <v>-43.98984171300576</v>
      </c>
      <c r="P80">
        <f t="shared" si="7"/>
        <v>1935.1061739353015</v>
      </c>
      <c r="R80" s="4" t="s">
        <v>52</v>
      </c>
      <c r="S80" s="4">
        <v>0</v>
      </c>
      <c r="T80" s="4">
        <v>0</v>
      </c>
      <c r="U80" s="4">
        <v>65535</v>
      </c>
      <c r="V80" s="4" t="e">
        <v>#NUM!</v>
      </c>
      <c r="W80" s="4">
        <v>0</v>
      </c>
      <c r="X80" s="4">
        <v>0</v>
      </c>
      <c r="Y80" s="4">
        <v>0</v>
      </c>
      <c r="Z80" s="4">
        <v>0</v>
      </c>
    </row>
    <row r="81" spans="1:26" x14ac:dyDescent="0.45">
      <c r="A81">
        <f t="shared" si="8"/>
        <v>66</v>
      </c>
      <c r="B81">
        <f t="shared" si="9"/>
        <v>6.4999999999999929</v>
      </c>
      <c r="C81">
        <f t="shared" si="10"/>
        <v>6.4999999999999929</v>
      </c>
      <c r="D81">
        <f t="shared" ref="D81:D137" si="11">B81^2</f>
        <v>42.249999999999908</v>
      </c>
      <c r="E81">
        <f t="shared" ref="E81:E137" si="12">C81^2</f>
        <v>42.249999999999908</v>
      </c>
      <c r="F81">
        <f t="shared" ref="F81:F137" si="13">B81*C81</f>
        <v>42.249999999999908</v>
      </c>
      <c r="G81">
        <f t="shared" ref="G81:G137" si="14">$B$12+$C$12*B81+$D$12*C81+$E$12*D81+$F$12*E81+$G$12*F81</f>
        <v>67.583892071585993</v>
      </c>
      <c r="H81">
        <v>-0.3348282007209491</v>
      </c>
      <c r="I81">
        <f t="shared" ref="I81:I137" si="15">G81+$H$12*H81</f>
        <v>58.821924492257914</v>
      </c>
      <c r="K81">
        <f t="shared" ref="K81:K137" si="16">$G$6+$H$6*B81+$I$6*C81+$J$6*D81+$K$6*E81+$L$6*F81</f>
        <v>70.064333312638908</v>
      </c>
      <c r="O81">
        <f t="shared" ref="O81:O137" si="17">I81-K81</f>
        <v>-11.242408820380994</v>
      </c>
      <c r="P81">
        <f t="shared" ref="P81:P137" si="18">O81^2</f>
        <v>126.39175608458038</v>
      </c>
      <c r="R81" s="4" t="s">
        <v>58</v>
      </c>
      <c r="S81" s="4">
        <v>2.306306985934949</v>
      </c>
      <c r="T81" s="4">
        <v>2.6252722160194892</v>
      </c>
      <c r="U81" s="4">
        <v>0.87850203566007179</v>
      </c>
      <c r="V81" s="4" t="e">
        <v>#NUM!</v>
      </c>
      <c r="W81" s="4">
        <v>-2.8919942046710858</v>
      </c>
      <c r="X81" s="4">
        <v>7.5046081765409838</v>
      </c>
      <c r="Y81" s="4">
        <v>-2.8919942046710858</v>
      </c>
      <c r="Z81" s="4">
        <v>7.5046081765409838</v>
      </c>
    </row>
    <row r="82" spans="1:26" x14ac:dyDescent="0.45">
      <c r="A82">
        <f t="shared" ref="A82:A137" si="19">A81+1</f>
        <v>67</v>
      </c>
      <c r="B82">
        <f t="shared" ref="B82:B137" si="20">B81+0.1</f>
        <v>6.5999999999999925</v>
      </c>
      <c r="C82">
        <f t="shared" ref="C82:C137" si="21">C81+0.1</f>
        <v>6.5999999999999925</v>
      </c>
      <c r="D82">
        <f t="shared" si="11"/>
        <v>43.559999999999903</v>
      </c>
      <c r="E82">
        <f t="shared" si="12"/>
        <v>43.559999999999903</v>
      </c>
      <c r="F82">
        <f t="shared" si="13"/>
        <v>43.559999999999903</v>
      </c>
      <c r="G82">
        <f t="shared" si="14"/>
        <v>69.488774167320045</v>
      </c>
      <c r="H82">
        <v>2.9504008125513792</v>
      </c>
      <c r="I82">
        <f t="shared" si="15"/>
        <v>146.69647713240954</v>
      </c>
      <c r="K82">
        <f t="shared" si="16"/>
        <v>72.083067564186877</v>
      </c>
      <c r="O82">
        <f t="shared" si="17"/>
        <v>74.613409568222664</v>
      </c>
      <c r="P82">
        <f t="shared" si="18"/>
        <v>5567.1608873953419</v>
      </c>
      <c r="R82" s="4" t="s">
        <v>75</v>
      </c>
      <c r="S82" s="4">
        <v>1.3649653812633145</v>
      </c>
      <c r="T82" s="4">
        <v>0.2099680323437513</v>
      </c>
      <c r="U82" s="4">
        <v>6.5008247494963776</v>
      </c>
      <c r="V82" s="4">
        <v>1.956847240749778E-9</v>
      </c>
      <c r="W82" s="4">
        <v>0.94920770635954521</v>
      </c>
      <c r="X82" s="4">
        <v>1.7807230561670837</v>
      </c>
      <c r="Y82" s="4">
        <v>0.94920770635954521</v>
      </c>
      <c r="Z82" s="4">
        <v>1.7807230561670837</v>
      </c>
    </row>
    <row r="83" spans="1:26" x14ac:dyDescent="0.45">
      <c r="A83">
        <f t="shared" si="19"/>
        <v>68</v>
      </c>
      <c r="B83">
        <f t="shared" si="20"/>
        <v>6.6999999999999922</v>
      </c>
      <c r="C83">
        <f t="shared" si="21"/>
        <v>6.6999999999999922</v>
      </c>
      <c r="D83">
        <f t="shared" si="11"/>
        <v>44.889999999999894</v>
      </c>
      <c r="E83">
        <f t="shared" si="12"/>
        <v>44.889999999999894</v>
      </c>
      <c r="F83">
        <f t="shared" si="13"/>
        <v>44.889999999999894</v>
      </c>
      <c r="G83">
        <f t="shared" si="14"/>
        <v>71.421555721375725</v>
      </c>
      <c r="H83">
        <v>-0.39336214285867754</v>
      </c>
      <c r="I83">
        <f t="shared" si="15"/>
        <v>61.127839913562923</v>
      </c>
      <c r="K83">
        <f t="shared" si="16"/>
        <v>74.12910074565329</v>
      </c>
      <c r="O83">
        <f t="shared" si="17"/>
        <v>-13.001260832090367</v>
      </c>
      <c r="P83">
        <f t="shared" si="18"/>
        <v>169.03278322404708</v>
      </c>
      <c r="R83" s="4" t="s">
        <v>76</v>
      </c>
      <c r="S83" s="4">
        <v>0</v>
      </c>
      <c r="T83" s="4">
        <v>0</v>
      </c>
      <c r="U83" s="4">
        <v>65535</v>
      </c>
      <c r="V83" s="4" t="e">
        <v>#NUM!</v>
      </c>
      <c r="W83" s="4">
        <v>0</v>
      </c>
      <c r="X83" s="4">
        <v>0</v>
      </c>
      <c r="Y83" s="4">
        <v>0</v>
      </c>
      <c r="Z83" s="4">
        <v>0</v>
      </c>
    </row>
    <row r="84" spans="1:26" ht="14.65" thickBot="1" x14ac:dyDescent="0.5">
      <c r="A84">
        <f t="shared" si="19"/>
        <v>69</v>
      </c>
      <c r="B84">
        <f t="shared" si="20"/>
        <v>6.7999999999999918</v>
      </c>
      <c r="C84">
        <f t="shared" si="21"/>
        <v>6.7999999999999918</v>
      </c>
      <c r="D84">
        <f t="shared" si="11"/>
        <v>46.239999999999888</v>
      </c>
      <c r="E84">
        <f t="shared" si="12"/>
        <v>46.239999999999888</v>
      </c>
      <c r="F84">
        <f t="shared" si="13"/>
        <v>46.239999999999888</v>
      </c>
      <c r="G84">
        <f t="shared" si="14"/>
        <v>73.382236733753032</v>
      </c>
      <c r="H84">
        <v>-0.64065943661262281</v>
      </c>
      <c r="I84">
        <f t="shared" si="15"/>
        <v>56.617110018310342</v>
      </c>
      <c r="K84">
        <f t="shared" si="16"/>
        <v>76.202432857038147</v>
      </c>
      <c r="O84">
        <f t="shared" si="17"/>
        <v>-19.585322838727805</v>
      </c>
      <c r="P84">
        <f t="shared" si="18"/>
        <v>383.58487069719297</v>
      </c>
      <c r="R84" s="5" t="s">
        <v>78</v>
      </c>
      <c r="S84" s="5">
        <v>0</v>
      </c>
      <c r="T84" s="5">
        <v>0</v>
      </c>
      <c r="U84" s="5">
        <v>65535</v>
      </c>
      <c r="V84" s="5" t="e">
        <v>#NUM!</v>
      </c>
      <c r="W84" s="5">
        <v>0</v>
      </c>
      <c r="X84" s="5">
        <v>0</v>
      </c>
      <c r="Y84" s="5">
        <v>0</v>
      </c>
      <c r="Z84" s="5">
        <v>0</v>
      </c>
    </row>
    <row r="85" spans="1:26" x14ac:dyDescent="0.45">
      <c r="A85">
        <f t="shared" si="19"/>
        <v>70</v>
      </c>
      <c r="B85">
        <f t="shared" si="20"/>
        <v>6.8999999999999915</v>
      </c>
      <c r="C85">
        <f t="shared" si="21"/>
        <v>6.8999999999999915</v>
      </c>
      <c r="D85">
        <f t="shared" si="11"/>
        <v>47.609999999999886</v>
      </c>
      <c r="E85">
        <f t="shared" si="12"/>
        <v>47.609999999999886</v>
      </c>
      <c r="F85">
        <f t="shared" si="13"/>
        <v>47.609999999999886</v>
      </c>
      <c r="G85">
        <f t="shared" si="14"/>
        <v>75.370817204451981</v>
      </c>
      <c r="H85">
        <v>-1.1460429050202947</v>
      </c>
      <c r="I85">
        <f t="shared" si="15"/>
        <v>45.380539334531449</v>
      </c>
      <c r="K85">
        <f t="shared" si="16"/>
        <v>78.303063898341435</v>
      </c>
      <c r="O85">
        <f t="shared" si="17"/>
        <v>-32.922524563809986</v>
      </c>
      <c r="P85">
        <f t="shared" si="18"/>
        <v>1083.892623654672</v>
      </c>
    </row>
    <row r="86" spans="1:26" x14ac:dyDescent="0.45">
      <c r="A86">
        <f t="shared" si="19"/>
        <v>71</v>
      </c>
      <c r="B86">
        <f t="shared" si="20"/>
        <v>6.9999999999999911</v>
      </c>
      <c r="C86">
        <f t="shared" si="21"/>
        <v>6.9999999999999911</v>
      </c>
      <c r="D86">
        <f t="shared" si="11"/>
        <v>48.999999999999872</v>
      </c>
      <c r="E86">
        <f t="shared" si="12"/>
        <v>48.999999999999872</v>
      </c>
      <c r="F86">
        <f t="shared" si="13"/>
        <v>48.999999999999872</v>
      </c>
      <c r="G86">
        <f t="shared" si="14"/>
        <v>77.387297133472515</v>
      </c>
      <c r="H86">
        <v>0.68622966864495538</v>
      </c>
      <c r="I86">
        <f t="shared" si="15"/>
        <v>95.344930617431174</v>
      </c>
      <c r="K86">
        <f t="shared" si="16"/>
        <v>80.430993869563167</v>
      </c>
      <c r="O86">
        <f t="shared" si="17"/>
        <v>14.913936747868007</v>
      </c>
      <c r="P86">
        <f t="shared" si="18"/>
        <v>222.42550931940775</v>
      </c>
    </row>
    <row r="87" spans="1:26" x14ac:dyDescent="0.45">
      <c r="A87">
        <f t="shared" si="19"/>
        <v>72</v>
      </c>
      <c r="B87">
        <f t="shared" si="20"/>
        <v>7.0999999999999908</v>
      </c>
      <c r="C87">
        <f t="shared" si="21"/>
        <v>7.0999999999999908</v>
      </c>
      <c r="D87">
        <f t="shared" si="11"/>
        <v>50.409999999999869</v>
      </c>
      <c r="E87">
        <f t="shared" si="12"/>
        <v>50.409999999999869</v>
      </c>
      <c r="F87">
        <f t="shared" si="13"/>
        <v>50.409999999999869</v>
      </c>
      <c r="G87">
        <f t="shared" si="14"/>
        <v>79.431676520814705</v>
      </c>
      <c r="H87">
        <v>0.18685796021600254</v>
      </c>
      <c r="I87">
        <f t="shared" si="15"/>
        <v>84.32147787514117</v>
      </c>
      <c r="K87">
        <f t="shared" si="16"/>
        <v>82.586222770703344</v>
      </c>
      <c r="O87">
        <f t="shared" si="17"/>
        <v>1.7352551044378259</v>
      </c>
      <c r="P87">
        <f t="shared" si="18"/>
        <v>3.0111102774775302</v>
      </c>
    </row>
    <row r="88" spans="1:26" x14ac:dyDescent="0.45">
      <c r="A88">
        <f t="shared" si="19"/>
        <v>73</v>
      </c>
      <c r="B88">
        <f t="shared" si="20"/>
        <v>7.1999999999999904</v>
      </c>
      <c r="C88">
        <f t="shared" si="21"/>
        <v>7.1999999999999904</v>
      </c>
      <c r="D88">
        <f t="shared" si="11"/>
        <v>51.839999999999861</v>
      </c>
      <c r="E88">
        <f t="shared" si="12"/>
        <v>51.839999999999861</v>
      </c>
      <c r="F88">
        <f t="shared" si="13"/>
        <v>51.839999999999861</v>
      </c>
      <c r="G88">
        <f t="shared" si="14"/>
        <v>81.503955366478522</v>
      </c>
      <c r="H88">
        <v>-0.29575403459602967</v>
      </c>
      <c r="I88">
        <f t="shared" si="15"/>
        <v>73.764501948259465</v>
      </c>
      <c r="K88">
        <f t="shared" si="16"/>
        <v>84.768750601761951</v>
      </c>
      <c r="O88">
        <f t="shared" si="17"/>
        <v>-11.004248653502486</v>
      </c>
      <c r="P88">
        <f t="shared" si="18"/>
        <v>121.09348842811129</v>
      </c>
    </row>
    <row r="89" spans="1:26" x14ac:dyDescent="0.45">
      <c r="A89">
        <f t="shared" si="19"/>
        <v>74</v>
      </c>
      <c r="B89">
        <f t="shared" si="20"/>
        <v>7.2999999999999901</v>
      </c>
      <c r="C89">
        <f t="shared" si="21"/>
        <v>7.2999999999999901</v>
      </c>
      <c r="D89">
        <f t="shared" si="11"/>
        <v>53.289999999999857</v>
      </c>
      <c r="E89">
        <f t="shared" si="12"/>
        <v>53.289999999999857</v>
      </c>
      <c r="F89">
        <f t="shared" si="13"/>
        <v>53.289999999999857</v>
      </c>
      <c r="G89">
        <f t="shared" si="14"/>
        <v>83.604133670463966</v>
      </c>
      <c r="H89">
        <v>-1.1283418643870391E-2</v>
      </c>
      <c r="I89">
        <f t="shared" si="15"/>
        <v>83.308862996940334</v>
      </c>
      <c r="K89">
        <f t="shared" si="16"/>
        <v>86.978577362739003</v>
      </c>
      <c r="O89">
        <f t="shared" si="17"/>
        <v>-3.6697143657986686</v>
      </c>
      <c r="P89">
        <f t="shared" si="18"/>
        <v>13.466803526549125</v>
      </c>
    </row>
    <row r="90" spans="1:26" x14ac:dyDescent="0.45">
      <c r="A90">
        <f t="shared" si="19"/>
        <v>75</v>
      </c>
      <c r="B90">
        <f t="shared" si="20"/>
        <v>7.3999999999999897</v>
      </c>
      <c r="C90">
        <f t="shared" si="21"/>
        <v>7.3999999999999897</v>
      </c>
      <c r="D90">
        <f t="shared" si="11"/>
        <v>54.759999999999849</v>
      </c>
      <c r="E90">
        <f t="shared" si="12"/>
        <v>54.759999999999849</v>
      </c>
      <c r="F90">
        <f t="shared" si="13"/>
        <v>54.759999999999849</v>
      </c>
      <c r="G90">
        <f t="shared" si="14"/>
        <v>85.732211432771024</v>
      </c>
      <c r="H90">
        <v>2.0378320186864585</v>
      </c>
      <c r="I90">
        <f t="shared" si="15"/>
        <v>139.05931482908386</v>
      </c>
      <c r="K90">
        <f t="shared" si="16"/>
        <v>89.215703053634513</v>
      </c>
      <c r="O90">
        <f t="shared" si="17"/>
        <v>49.843611775449347</v>
      </c>
      <c r="P90">
        <f t="shared" si="18"/>
        <v>2484.3856348217128</v>
      </c>
    </row>
    <row r="91" spans="1:26" x14ac:dyDescent="0.45">
      <c r="A91">
        <f t="shared" si="19"/>
        <v>76</v>
      </c>
      <c r="B91">
        <f t="shared" si="20"/>
        <v>7.4999999999999893</v>
      </c>
      <c r="C91">
        <f t="shared" si="21"/>
        <v>7.4999999999999893</v>
      </c>
      <c r="D91">
        <f t="shared" si="11"/>
        <v>56.249999999999844</v>
      </c>
      <c r="E91">
        <f t="shared" si="12"/>
        <v>56.249999999999844</v>
      </c>
      <c r="F91">
        <f t="shared" si="13"/>
        <v>56.249999999999844</v>
      </c>
      <c r="G91">
        <f t="shared" si="14"/>
        <v>87.888188653399709</v>
      </c>
      <c r="H91">
        <v>-0.68014287535334006</v>
      </c>
      <c r="I91">
        <f t="shared" si="15"/>
        <v>70.089837707077862</v>
      </c>
      <c r="K91">
        <f t="shared" si="16"/>
        <v>91.480127674448426</v>
      </c>
      <c r="O91">
        <f t="shared" si="17"/>
        <v>-21.390289967370563</v>
      </c>
      <c r="P91">
        <f t="shared" si="18"/>
        <v>457.54450488819379</v>
      </c>
    </row>
    <row r="92" spans="1:26" x14ac:dyDescent="0.45">
      <c r="A92">
        <f t="shared" si="19"/>
        <v>77</v>
      </c>
      <c r="B92">
        <f t="shared" si="20"/>
        <v>7.599999999999989</v>
      </c>
      <c r="C92">
        <f t="shared" si="21"/>
        <v>7.599999999999989</v>
      </c>
      <c r="D92">
        <f t="shared" si="11"/>
        <v>57.759999999999835</v>
      </c>
      <c r="E92">
        <f t="shared" si="12"/>
        <v>57.759999999999835</v>
      </c>
      <c r="F92">
        <f t="shared" si="13"/>
        <v>57.759999999999835</v>
      </c>
      <c r="G92">
        <f t="shared" si="14"/>
        <v>90.072065332350022</v>
      </c>
      <c r="H92">
        <v>-0.67783048507408239</v>
      </c>
      <c r="I92">
        <f t="shared" si="15"/>
        <v>72.334226280229402</v>
      </c>
      <c r="K92">
        <f t="shared" si="16"/>
        <v>93.771851225180797</v>
      </c>
      <c r="O92">
        <f t="shared" si="17"/>
        <v>-21.437624944951395</v>
      </c>
      <c r="P92">
        <f t="shared" si="18"/>
        <v>459.57176328040231</v>
      </c>
    </row>
    <row r="93" spans="1:26" x14ac:dyDescent="0.45">
      <c r="A93">
        <f t="shared" si="19"/>
        <v>78</v>
      </c>
      <c r="B93">
        <f t="shared" si="20"/>
        <v>7.6999999999999886</v>
      </c>
      <c r="C93">
        <f t="shared" si="21"/>
        <v>7.6999999999999886</v>
      </c>
      <c r="D93">
        <f t="shared" si="11"/>
        <v>59.289999999999822</v>
      </c>
      <c r="E93">
        <f t="shared" si="12"/>
        <v>59.289999999999822</v>
      </c>
      <c r="F93">
        <f t="shared" si="13"/>
        <v>59.289999999999822</v>
      </c>
      <c r="G93">
        <f t="shared" si="14"/>
        <v>92.283841469621962</v>
      </c>
      <c r="H93">
        <v>-0.20534116629278287</v>
      </c>
      <c r="I93">
        <f t="shared" si="15"/>
        <v>86.91036146439906</v>
      </c>
      <c r="K93">
        <f t="shared" si="16"/>
        <v>96.090873705831598</v>
      </c>
      <c r="O93">
        <f t="shared" si="17"/>
        <v>-9.1805122414325382</v>
      </c>
      <c r="P93">
        <f t="shared" si="18"/>
        <v>84.281805015092687</v>
      </c>
    </row>
    <row r="94" spans="1:26" x14ac:dyDescent="0.45">
      <c r="A94">
        <f t="shared" si="19"/>
        <v>79</v>
      </c>
      <c r="B94">
        <f t="shared" si="20"/>
        <v>7.7999999999999883</v>
      </c>
      <c r="C94">
        <f t="shared" si="21"/>
        <v>7.7999999999999883</v>
      </c>
      <c r="D94">
        <f t="shared" si="11"/>
        <v>60.839999999999819</v>
      </c>
      <c r="E94">
        <f t="shared" si="12"/>
        <v>60.839999999999819</v>
      </c>
      <c r="F94">
        <f t="shared" si="13"/>
        <v>60.839999999999819</v>
      </c>
      <c r="G94">
        <f t="shared" si="14"/>
        <v>94.523517065215543</v>
      </c>
      <c r="H94">
        <v>-1.2357304512988776</v>
      </c>
      <c r="I94">
        <f t="shared" si="15"/>
        <v>62.186246405947024</v>
      </c>
      <c r="K94">
        <f t="shared" si="16"/>
        <v>98.437195116400858</v>
      </c>
      <c r="O94">
        <f t="shared" si="17"/>
        <v>-36.250948710453834</v>
      </c>
      <c r="P94">
        <f t="shared" si="18"/>
        <v>1314.1312824079544</v>
      </c>
    </row>
    <row r="95" spans="1:26" x14ac:dyDescent="0.45">
      <c r="A95">
        <f t="shared" si="19"/>
        <v>80</v>
      </c>
      <c r="B95">
        <f t="shared" si="20"/>
        <v>7.8999999999999879</v>
      </c>
      <c r="C95">
        <f t="shared" si="21"/>
        <v>7.8999999999999879</v>
      </c>
      <c r="D95">
        <f t="shared" si="11"/>
        <v>62.409999999999812</v>
      </c>
      <c r="E95">
        <f t="shared" si="12"/>
        <v>62.409999999999812</v>
      </c>
      <c r="F95">
        <f t="shared" si="13"/>
        <v>62.409999999999812</v>
      </c>
      <c r="G95">
        <f t="shared" si="14"/>
        <v>96.791092119130738</v>
      </c>
      <c r="H95">
        <v>0.84210114437155426</v>
      </c>
      <c r="I95">
        <f t="shared" si="15"/>
        <v>118.82765567504207</v>
      </c>
      <c r="K95">
        <f t="shared" si="16"/>
        <v>100.81081545688853</v>
      </c>
      <c r="O95">
        <f t="shared" si="17"/>
        <v>18.016840218153533</v>
      </c>
      <c r="P95">
        <f t="shared" si="18"/>
        <v>324.60653144647466</v>
      </c>
    </row>
    <row r="96" spans="1:26" x14ac:dyDescent="0.45">
      <c r="A96">
        <f t="shared" si="19"/>
        <v>81</v>
      </c>
      <c r="B96">
        <f t="shared" si="20"/>
        <v>7.9999999999999876</v>
      </c>
      <c r="C96">
        <f t="shared" si="21"/>
        <v>7.9999999999999876</v>
      </c>
      <c r="D96">
        <f t="shared" si="11"/>
        <v>63.999999999999801</v>
      </c>
      <c r="E96">
        <f t="shared" si="12"/>
        <v>63.999999999999801</v>
      </c>
      <c r="F96">
        <f t="shared" si="13"/>
        <v>63.999999999999801</v>
      </c>
      <c r="G96">
        <f t="shared" si="14"/>
        <v>99.08656663136756</v>
      </c>
      <c r="H96">
        <v>1.1338829608575907</v>
      </c>
      <c r="I96">
        <f t="shared" si="15"/>
        <v>128.75863642834011</v>
      </c>
      <c r="K96">
        <f t="shared" si="16"/>
        <v>103.21173472729467</v>
      </c>
      <c r="O96">
        <f t="shared" si="17"/>
        <v>25.546901701045442</v>
      </c>
      <c r="P96">
        <f t="shared" si="18"/>
        <v>652.6441865228785</v>
      </c>
    </row>
    <row r="97" spans="1:16" x14ac:dyDescent="0.45">
      <c r="A97">
        <f t="shared" si="19"/>
        <v>82</v>
      </c>
      <c r="B97">
        <f t="shared" si="20"/>
        <v>8.0999999999999872</v>
      </c>
      <c r="C97">
        <f t="shared" si="21"/>
        <v>8.0999999999999872</v>
      </c>
      <c r="D97">
        <f t="shared" si="11"/>
        <v>65.609999999999786</v>
      </c>
      <c r="E97">
        <f t="shared" si="12"/>
        <v>65.609999999999786</v>
      </c>
      <c r="F97">
        <f t="shared" si="13"/>
        <v>65.609999999999786</v>
      </c>
      <c r="G97">
        <f t="shared" si="14"/>
        <v>101.409940601926</v>
      </c>
      <c r="H97">
        <v>-0.17900219972943887</v>
      </c>
      <c r="I97">
        <f t="shared" si="15"/>
        <v>96.725713086798351</v>
      </c>
      <c r="K97">
        <f t="shared" si="16"/>
        <v>105.63995292761922</v>
      </c>
      <c r="O97">
        <f t="shared" si="17"/>
        <v>-8.9142398408208692</v>
      </c>
      <c r="P97">
        <f t="shared" si="18"/>
        <v>79.463671939678079</v>
      </c>
    </row>
    <row r="98" spans="1:16" x14ac:dyDescent="0.45">
      <c r="A98">
        <f t="shared" si="19"/>
        <v>83</v>
      </c>
      <c r="B98">
        <f t="shared" si="20"/>
        <v>8.1999999999999869</v>
      </c>
      <c r="C98">
        <f t="shared" si="21"/>
        <v>8.1999999999999869</v>
      </c>
      <c r="D98">
        <f t="shared" si="11"/>
        <v>67.239999999999782</v>
      </c>
      <c r="E98">
        <f t="shared" si="12"/>
        <v>67.239999999999782</v>
      </c>
      <c r="F98">
        <f t="shared" si="13"/>
        <v>67.239999999999782</v>
      </c>
      <c r="G98">
        <f t="shared" si="14"/>
        <v>103.76121403080607</v>
      </c>
      <c r="H98">
        <v>-0.5123342816659715</v>
      </c>
      <c r="I98">
        <f t="shared" si="15"/>
        <v>90.354170191398921</v>
      </c>
      <c r="K98">
        <f t="shared" si="16"/>
        <v>108.09547005786223</v>
      </c>
      <c r="O98">
        <f t="shared" si="17"/>
        <v>-17.741299866463308</v>
      </c>
      <c r="P98">
        <f t="shared" si="18"/>
        <v>314.75372095177102</v>
      </c>
    </row>
    <row r="99" spans="1:16" x14ac:dyDescent="0.45">
      <c r="A99">
        <f t="shared" si="19"/>
        <v>84</v>
      </c>
      <c r="B99">
        <f t="shared" si="20"/>
        <v>8.2999999999999865</v>
      </c>
      <c r="C99">
        <f t="shared" si="21"/>
        <v>8.2999999999999865</v>
      </c>
      <c r="D99">
        <f t="shared" si="11"/>
        <v>68.889999999999773</v>
      </c>
      <c r="E99">
        <f t="shared" si="12"/>
        <v>68.889999999999773</v>
      </c>
      <c r="F99">
        <f t="shared" si="13"/>
        <v>68.889999999999773</v>
      </c>
      <c r="G99">
        <f t="shared" si="14"/>
        <v>106.14038691800776</v>
      </c>
      <c r="H99">
        <v>1.6214426068472676</v>
      </c>
      <c r="I99">
        <f t="shared" si="15"/>
        <v>148.57118433096915</v>
      </c>
      <c r="K99">
        <f t="shared" si="16"/>
        <v>110.57828611802368</v>
      </c>
      <c r="O99">
        <f t="shared" si="17"/>
        <v>37.992898212945462</v>
      </c>
      <c r="P99">
        <f t="shared" si="18"/>
        <v>1443.4603146192346</v>
      </c>
    </row>
    <row r="100" spans="1:16" x14ac:dyDescent="0.45">
      <c r="A100">
        <f t="shared" si="19"/>
        <v>85</v>
      </c>
      <c r="B100">
        <f t="shared" si="20"/>
        <v>8.3999999999999861</v>
      </c>
      <c r="C100">
        <f t="shared" si="21"/>
        <v>8.3999999999999861</v>
      </c>
      <c r="D100">
        <f t="shared" si="11"/>
        <v>70.559999999999761</v>
      </c>
      <c r="E100">
        <f t="shared" si="12"/>
        <v>70.559999999999761</v>
      </c>
      <c r="F100">
        <f t="shared" si="13"/>
        <v>70.559999999999761</v>
      </c>
      <c r="G100">
        <f t="shared" si="14"/>
        <v>108.54745926353108</v>
      </c>
      <c r="H100">
        <v>1.9716753740794957</v>
      </c>
      <c r="I100">
        <f t="shared" si="15"/>
        <v>160.14333938189057</v>
      </c>
      <c r="K100">
        <f t="shared" si="16"/>
        <v>113.08840110810355</v>
      </c>
      <c r="O100">
        <f t="shared" si="17"/>
        <v>47.054938273787016</v>
      </c>
      <c r="P100">
        <f t="shared" si="18"/>
        <v>2214.1672159499062</v>
      </c>
    </row>
    <row r="101" spans="1:16" x14ac:dyDescent="0.45">
      <c r="A101">
        <f t="shared" si="19"/>
        <v>86</v>
      </c>
      <c r="B101">
        <f t="shared" si="20"/>
        <v>8.4999999999999858</v>
      </c>
      <c r="C101">
        <f t="shared" si="21"/>
        <v>8.4999999999999858</v>
      </c>
      <c r="D101">
        <f t="shared" si="11"/>
        <v>72.249999999999758</v>
      </c>
      <c r="E101">
        <f t="shared" si="12"/>
        <v>72.249999999999758</v>
      </c>
      <c r="F101">
        <f t="shared" si="13"/>
        <v>72.249999999999758</v>
      </c>
      <c r="G101">
        <f t="shared" si="14"/>
        <v>110.98243106737604</v>
      </c>
      <c r="H101">
        <v>-0.76620153777184896</v>
      </c>
      <c r="I101">
        <f t="shared" si="15"/>
        <v>90.932049950334658</v>
      </c>
      <c r="K101">
        <f t="shared" si="16"/>
        <v>115.62581502810188</v>
      </c>
      <c r="O101">
        <f t="shared" si="17"/>
        <v>-24.693765077767225</v>
      </c>
      <c r="P101">
        <f t="shared" si="18"/>
        <v>609.78203371595612</v>
      </c>
    </row>
    <row r="102" spans="1:16" x14ac:dyDescent="0.45">
      <c r="A102">
        <f t="shared" si="19"/>
        <v>87</v>
      </c>
      <c r="B102">
        <f t="shared" si="20"/>
        <v>8.5999999999999854</v>
      </c>
      <c r="C102">
        <f t="shared" si="21"/>
        <v>8.5999999999999854</v>
      </c>
      <c r="D102">
        <f t="shared" si="11"/>
        <v>73.959999999999752</v>
      </c>
      <c r="E102">
        <f t="shared" si="12"/>
        <v>73.959999999999752</v>
      </c>
      <c r="F102">
        <f t="shared" si="13"/>
        <v>73.959999999999752</v>
      </c>
      <c r="G102">
        <f t="shared" si="14"/>
        <v>113.44530232954261</v>
      </c>
      <c r="H102">
        <v>-0.31033096092869528</v>
      </c>
      <c r="I102">
        <f t="shared" si="15"/>
        <v>105.32439192634422</v>
      </c>
      <c r="K102">
        <f t="shared" si="16"/>
        <v>118.19052787801866</v>
      </c>
      <c r="O102">
        <f t="shared" si="17"/>
        <v>-12.866135951674437</v>
      </c>
      <c r="P102">
        <f t="shared" si="18"/>
        <v>165.53745432696948</v>
      </c>
    </row>
    <row r="103" spans="1:16" x14ac:dyDescent="0.45">
      <c r="A103">
        <f t="shared" si="19"/>
        <v>88</v>
      </c>
      <c r="B103">
        <f t="shared" si="20"/>
        <v>8.6999999999999851</v>
      </c>
      <c r="C103">
        <f t="shared" si="21"/>
        <v>8.6999999999999851</v>
      </c>
      <c r="D103">
        <f t="shared" si="11"/>
        <v>75.689999999999742</v>
      </c>
      <c r="E103">
        <f t="shared" si="12"/>
        <v>75.689999999999742</v>
      </c>
      <c r="F103">
        <f t="shared" si="13"/>
        <v>75.689999999999742</v>
      </c>
      <c r="G103">
        <f t="shared" si="14"/>
        <v>115.93607305003084</v>
      </c>
      <c r="H103">
        <v>-1.5061732483445667</v>
      </c>
      <c r="I103">
        <f t="shared" si="15"/>
        <v>76.521707287437977</v>
      </c>
      <c r="K103">
        <f t="shared" si="16"/>
        <v>120.78253965785385</v>
      </c>
      <c r="O103">
        <f t="shared" si="17"/>
        <v>-44.260832370415869</v>
      </c>
      <c r="P103">
        <f t="shared" si="18"/>
        <v>1959.0212821220532</v>
      </c>
    </row>
    <row r="104" spans="1:16" x14ac:dyDescent="0.45">
      <c r="A104">
        <f t="shared" si="19"/>
        <v>89</v>
      </c>
      <c r="B104">
        <f t="shared" si="20"/>
        <v>8.7999999999999847</v>
      </c>
      <c r="C104">
        <f t="shared" si="21"/>
        <v>8.7999999999999847</v>
      </c>
      <c r="D104">
        <f t="shared" si="11"/>
        <v>77.439999999999728</v>
      </c>
      <c r="E104">
        <f t="shared" si="12"/>
        <v>77.439999999999728</v>
      </c>
      <c r="F104">
        <f t="shared" si="13"/>
        <v>77.439999999999728</v>
      </c>
      <c r="G104">
        <f t="shared" si="14"/>
        <v>118.45474322884066</v>
      </c>
      <c r="H104">
        <v>1.8475247998139821E-2</v>
      </c>
      <c r="I104">
        <f t="shared" si="15"/>
        <v>118.93821362838045</v>
      </c>
      <c r="K104">
        <f t="shared" si="16"/>
        <v>123.40185036760749</v>
      </c>
      <c r="O104">
        <f t="shared" si="17"/>
        <v>-4.4636367392270415</v>
      </c>
      <c r="P104">
        <f t="shared" si="18"/>
        <v>19.924052939777415</v>
      </c>
    </row>
    <row r="105" spans="1:16" x14ac:dyDescent="0.45">
      <c r="A105">
        <f t="shared" si="19"/>
        <v>90</v>
      </c>
      <c r="B105">
        <f t="shared" si="20"/>
        <v>8.8999999999999844</v>
      </c>
      <c r="C105">
        <f t="shared" si="21"/>
        <v>8.8999999999999844</v>
      </c>
      <c r="D105">
        <f t="shared" si="11"/>
        <v>79.209999999999724</v>
      </c>
      <c r="E105">
        <f t="shared" si="12"/>
        <v>79.209999999999724</v>
      </c>
      <c r="F105">
        <f t="shared" si="13"/>
        <v>79.209999999999724</v>
      </c>
      <c r="G105">
        <f t="shared" si="14"/>
        <v>121.0013128659721</v>
      </c>
      <c r="H105">
        <v>-0.70483793024322949</v>
      </c>
      <c r="I105">
        <f t="shared" si="15"/>
        <v>102.55672820979835</v>
      </c>
      <c r="K105">
        <f t="shared" si="16"/>
        <v>126.0484600072796</v>
      </c>
      <c r="O105">
        <f t="shared" si="17"/>
        <v>-23.491731797481251</v>
      </c>
      <c r="P105">
        <f t="shared" si="18"/>
        <v>551.86146284479162</v>
      </c>
    </row>
    <row r="106" spans="1:16" x14ac:dyDescent="0.45">
      <c r="A106">
        <f t="shared" si="19"/>
        <v>91</v>
      </c>
      <c r="B106">
        <f t="shared" si="20"/>
        <v>8.999999999999984</v>
      </c>
      <c r="C106">
        <f t="shared" si="21"/>
        <v>8.999999999999984</v>
      </c>
      <c r="D106">
        <f t="shared" si="11"/>
        <v>80.999999999999716</v>
      </c>
      <c r="E106">
        <f t="shared" si="12"/>
        <v>80.999999999999716</v>
      </c>
      <c r="F106">
        <f t="shared" si="13"/>
        <v>80.999999999999716</v>
      </c>
      <c r="G106">
        <f t="shared" si="14"/>
        <v>123.57578196142518</v>
      </c>
      <c r="H106">
        <v>0.39774704418960027</v>
      </c>
      <c r="I106">
        <f t="shared" si="15"/>
        <v>133.98424426674737</v>
      </c>
      <c r="K106">
        <f t="shared" si="16"/>
        <v>128.72236857687011</v>
      </c>
      <c r="O106">
        <f t="shared" si="17"/>
        <v>5.2618756898772574</v>
      </c>
      <c r="P106">
        <f t="shared" si="18"/>
        <v>27.687335775721262</v>
      </c>
    </row>
    <row r="107" spans="1:16" x14ac:dyDescent="0.45">
      <c r="A107">
        <f t="shared" si="19"/>
        <v>92</v>
      </c>
      <c r="B107">
        <f t="shared" si="20"/>
        <v>9.0999999999999837</v>
      </c>
      <c r="C107">
        <f t="shared" si="21"/>
        <v>9.0999999999999837</v>
      </c>
      <c r="D107">
        <f t="shared" si="11"/>
        <v>82.809999999999704</v>
      </c>
      <c r="E107">
        <f t="shared" si="12"/>
        <v>82.809999999999704</v>
      </c>
      <c r="F107">
        <f t="shared" si="13"/>
        <v>82.809999999999704</v>
      </c>
      <c r="G107">
        <f t="shared" si="14"/>
        <v>126.17815051519989</v>
      </c>
      <c r="H107">
        <v>0.57657530305732507</v>
      </c>
      <c r="I107">
        <f t="shared" si="15"/>
        <v>141.26628855599742</v>
      </c>
      <c r="K107">
        <f t="shared" si="16"/>
        <v>131.42357607637905</v>
      </c>
      <c r="O107">
        <f t="shared" si="17"/>
        <v>9.8427124796183705</v>
      </c>
      <c r="P107">
        <f t="shared" si="18"/>
        <v>96.878988956435208</v>
      </c>
    </row>
    <row r="108" spans="1:16" x14ac:dyDescent="0.45">
      <c r="A108">
        <f t="shared" si="19"/>
        <v>93</v>
      </c>
      <c r="B108">
        <f t="shared" si="20"/>
        <v>9.1999999999999833</v>
      </c>
      <c r="C108">
        <f t="shared" si="21"/>
        <v>9.1999999999999833</v>
      </c>
      <c r="D108">
        <f t="shared" si="11"/>
        <v>84.639999999999688</v>
      </c>
      <c r="E108">
        <f t="shared" si="12"/>
        <v>84.639999999999688</v>
      </c>
      <c r="F108">
        <f t="shared" si="13"/>
        <v>84.639999999999688</v>
      </c>
      <c r="G108">
        <f t="shared" si="14"/>
        <v>128.80841852729623</v>
      </c>
      <c r="H108">
        <v>0.4480273219087394</v>
      </c>
      <c r="I108">
        <f t="shared" si="15"/>
        <v>140.53264265407225</v>
      </c>
      <c r="K108">
        <f t="shared" si="16"/>
        <v>134.15208250580645</v>
      </c>
      <c r="O108">
        <f t="shared" si="17"/>
        <v>6.3805601482658005</v>
      </c>
      <c r="P108">
        <f t="shared" si="18"/>
        <v>40.711547805637693</v>
      </c>
    </row>
    <row r="109" spans="1:16" x14ac:dyDescent="0.45">
      <c r="A109">
        <f t="shared" si="19"/>
        <v>94</v>
      </c>
      <c r="B109">
        <f t="shared" si="20"/>
        <v>9.2999999999999829</v>
      </c>
      <c r="C109">
        <f t="shared" si="21"/>
        <v>9.2999999999999829</v>
      </c>
      <c r="D109">
        <f t="shared" si="11"/>
        <v>86.489999999999682</v>
      </c>
      <c r="E109">
        <f t="shared" si="12"/>
        <v>86.489999999999682</v>
      </c>
      <c r="F109">
        <f t="shared" si="13"/>
        <v>86.489999999999682</v>
      </c>
      <c r="G109">
        <f t="shared" si="14"/>
        <v>131.46658599771416</v>
      </c>
      <c r="H109">
        <v>0.48745732783572748</v>
      </c>
      <c r="I109">
        <f t="shared" si="15"/>
        <v>144.22263609626046</v>
      </c>
      <c r="K109">
        <f t="shared" si="16"/>
        <v>136.9078878651523</v>
      </c>
      <c r="O109">
        <f t="shared" si="17"/>
        <v>7.3147482311081546</v>
      </c>
      <c r="P109">
        <f t="shared" si="18"/>
        <v>53.505541684499875</v>
      </c>
    </row>
    <row r="110" spans="1:16" x14ac:dyDescent="0.45">
      <c r="A110">
        <f t="shared" si="19"/>
        <v>95</v>
      </c>
      <c r="B110">
        <f t="shared" si="20"/>
        <v>9.3999999999999826</v>
      </c>
      <c r="C110">
        <f t="shared" si="21"/>
        <v>9.3999999999999826</v>
      </c>
      <c r="D110">
        <f t="shared" si="11"/>
        <v>88.359999999999673</v>
      </c>
      <c r="E110">
        <f t="shared" si="12"/>
        <v>88.359999999999673</v>
      </c>
      <c r="F110">
        <f t="shared" si="13"/>
        <v>88.359999999999673</v>
      </c>
      <c r="G110">
        <f t="shared" si="14"/>
        <v>134.15265292645378</v>
      </c>
      <c r="H110">
        <v>0.16394096746807918</v>
      </c>
      <c r="I110">
        <f t="shared" si="15"/>
        <v>138.44274987404077</v>
      </c>
      <c r="K110">
        <f t="shared" si="16"/>
        <v>139.69099215441659</v>
      </c>
      <c r="O110">
        <f t="shared" si="17"/>
        <v>-1.2482422803758197</v>
      </c>
      <c r="P110">
        <f t="shared" si="18"/>
        <v>1.5581087905178266</v>
      </c>
    </row>
    <row r="111" spans="1:16" x14ac:dyDescent="0.45">
      <c r="A111">
        <f t="shared" si="19"/>
        <v>96</v>
      </c>
      <c r="B111">
        <f t="shared" si="20"/>
        <v>9.4999999999999822</v>
      </c>
      <c r="C111">
        <f t="shared" si="21"/>
        <v>9.4999999999999822</v>
      </c>
      <c r="D111">
        <f t="shared" si="11"/>
        <v>90.249999999999659</v>
      </c>
      <c r="E111">
        <f t="shared" si="12"/>
        <v>90.249999999999659</v>
      </c>
      <c r="F111">
        <f t="shared" si="13"/>
        <v>90.249999999999659</v>
      </c>
      <c r="G111">
        <f t="shared" si="14"/>
        <v>136.86661931351497</v>
      </c>
      <c r="H111">
        <v>2.6085035642609</v>
      </c>
      <c r="I111">
        <f t="shared" si="15"/>
        <v>205.12736799419125</v>
      </c>
      <c r="K111">
        <f t="shared" si="16"/>
        <v>142.50139537359928</v>
      </c>
      <c r="O111">
        <f t="shared" si="17"/>
        <v>62.625972620591966</v>
      </c>
      <c r="P111">
        <f t="shared" si="18"/>
        <v>3922.0124466751345</v>
      </c>
    </row>
    <row r="112" spans="1:16" x14ac:dyDescent="0.45">
      <c r="A112">
        <f t="shared" si="19"/>
        <v>97</v>
      </c>
      <c r="B112">
        <f t="shared" si="20"/>
        <v>9.5999999999999819</v>
      </c>
      <c r="C112">
        <f t="shared" si="21"/>
        <v>9.5999999999999819</v>
      </c>
      <c r="D112">
        <f t="shared" si="11"/>
        <v>92.159999999999656</v>
      </c>
      <c r="E112">
        <f t="shared" si="12"/>
        <v>92.159999999999656</v>
      </c>
      <c r="F112">
        <f t="shared" si="13"/>
        <v>92.159999999999656</v>
      </c>
      <c r="G112">
        <f t="shared" si="14"/>
        <v>139.60848515889782</v>
      </c>
      <c r="H112">
        <v>8.443976184935309E-2</v>
      </c>
      <c r="I112">
        <f t="shared" si="15"/>
        <v>141.81815105363773</v>
      </c>
      <c r="K112">
        <f t="shared" si="16"/>
        <v>145.33909752270046</v>
      </c>
      <c r="O112">
        <f t="shared" si="17"/>
        <v>-3.5209464690627215</v>
      </c>
      <c r="P112">
        <f t="shared" si="18"/>
        <v>12.397064038005245</v>
      </c>
    </row>
    <row r="113" spans="1:16" x14ac:dyDescent="0.45">
      <c r="A113">
        <f t="shared" si="19"/>
        <v>98</v>
      </c>
      <c r="B113">
        <f t="shared" si="20"/>
        <v>9.6999999999999815</v>
      </c>
      <c r="C113">
        <f t="shared" si="21"/>
        <v>9.6999999999999815</v>
      </c>
      <c r="D113">
        <f t="shared" si="11"/>
        <v>94.089999999999648</v>
      </c>
      <c r="E113">
        <f t="shared" si="12"/>
        <v>94.089999999999648</v>
      </c>
      <c r="F113">
        <f t="shared" si="13"/>
        <v>94.089999999999648</v>
      </c>
      <c r="G113">
        <f t="shared" si="14"/>
        <v>142.3782504626023</v>
      </c>
      <c r="H113">
        <v>1.0915459824900609</v>
      </c>
      <c r="I113">
        <f t="shared" si="15"/>
        <v>170.94242304224286</v>
      </c>
      <c r="K113">
        <f t="shared" si="16"/>
        <v>148.20409860172006</v>
      </c>
      <c r="O113">
        <f t="shared" si="17"/>
        <v>22.738324440522803</v>
      </c>
      <c r="P113">
        <f t="shared" si="18"/>
        <v>517.03139836247658</v>
      </c>
    </row>
    <row r="114" spans="1:16" x14ac:dyDescent="0.45">
      <c r="A114">
        <f t="shared" si="19"/>
        <v>99</v>
      </c>
      <c r="B114">
        <f t="shared" si="20"/>
        <v>9.7999999999999812</v>
      </c>
      <c r="C114">
        <f t="shared" si="21"/>
        <v>9.7999999999999812</v>
      </c>
      <c r="D114">
        <f t="shared" si="11"/>
        <v>96.039999999999637</v>
      </c>
      <c r="E114">
        <f t="shared" si="12"/>
        <v>96.039999999999637</v>
      </c>
      <c r="F114">
        <f t="shared" si="13"/>
        <v>96.039999999999637</v>
      </c>
      <c r="G114">
        <f t="shared" si="14"/>
        <v>145.17591522462837</v>
      </c>
      <c r="H114">
        <v>-0.66785332819563337</v>
      </c>
      <c r="I114">
        <f t="shared" si="15"/>
        <v>127.69916387334838</v>
      </c>
      <c r="K114">
        <f t="shared" si="16"/>
        <v>151.0963986106581</v>
      </c>
      <c r="O114">
        <f t="shared" si="17"/>
        <v>-23.397234737309716</v>
      </c>
      <c r="P114">
        <f t="shared" si="18"/>
        <v>547.43059335277246</v>
      </c>
    </row>
    <row r="115" spans="1:16" x14ac:dyDescent="0.45">
      <c r="A115">
        <f t="shared" si="19"/>
        <v>100</v>
      </c>
      <c r="B115">
        <f t="shared" si="20"/>
        <v>9.8999999999999808</v>
      </c>
      <c r="C115">
        <f t="shared" si="21"/>
        <v>9.8999999999999808</v>
      </c>
      <c r="D115">
        <f t="shared" si="11"/>
        <v>98.009999999999621</v>
      </c>
      <c r="E115">
        <f t="shared" si="12"/>
        <v>98.009999999999621</v>
      </c>
      <c r="F115">
        <f t="shared" si="13"/>
        <v>98.009999999999621</v>
      </c>
      <c r="G115">
        <f t="shared" si="14"/>
        <v>148.0014794449761</v>
      </c>
      <c r="H115">
        <v>0.97516704045119695</v>
      </c>
      <c r="I115">
        <f t="shared" si="15"/>
        <v>173.5201841850936</v>
      </c>
      <c r="K115">
        <f t="shared" si="16"/>
        <v>154.01599754951457</v>
      </c>
      <c r="O115">
        <f t="shared" si="17"/>
        <v>19.504186635579032</v>
      </c>
      <c r="P115">
        <f t="shared" si="18"/>
        <v>380.41329631549974</v>
      </c>
    </row>
    <row r="116" spans="1:16" x14ac:dyDescent="0.45">
      <c r="A116">
        <f t="shared" si="19"/>
        <v>101</v>
      </c>
      <c r="B116">
        <f t="shared" si="20"/>
        <v>9.9999999999999805</v>
      </c>
      <c r="C116">
        <f t="shared" si="21"/>
        <v>9.9999999999999805</v>
      </c>
      <c r="D116">
        <f t="shared" si="11"/>
        <v>99.999999999999602</v>
      </c>
      <c r="E116">
        <f t="shared" si="12"/>
        <v>99.999999999999602</v>
      </c>
      <c r="F116">
        <f t="shared" si="13"/>
        <v>99.999999999999602</v>
      </c>
      <c r="G116">
        <f t="shared" si="14"/>
        <v>150.8549431236454</v>
      </c>
      <c r="H116">
        <v>0.49185473471879959</v>
      </c>
      <c r="I116">
        <f t="shared" si="15"/>
        <v>163.72606697183295</v>
      </c>
      <c r="K116">
        <f t="shared" si="16"/>
        <v>156.96289541828946</v>
      </c>
      <c r="O116">
        <f t="shared" si="17"/>
        <v>6.7631715535434864</v>
      </c>
      <c r="P116">
        <f t="shared" si="18"/>
        <v>45.740489462659816</v>
      </c>
    </row>
    <row r="117" spans="1:16" x14ac:dyDescent="0.45">
      <c r="A117">
        <f t="shared" si="19"/>
        <v>102</v>
      </c>
      <c r="B117">
        <f t="shared" si="20"/>
        <v>10.09999999999998</v>
      </c>
      <c r="C117">
        <f t="shared" si="21"/>
        <v>10.09999999999998</v>
      </c>
      <c r="D117">
        <f t="shared" si="11"/>
        <v>102.00999999999959</v>
      </c>
      <c r="E117">
        <f t="shared" si="12"/>
        <v>102.00999999999959</v>
      </c>
      <c r="F117">
        <f t="shared" si="13"/>
        <v>102.00999999999959</v>
      </c>
      <c r="G117">
        <f t="shared" si="14"/>
        <v>153.73630626063638</v>
      </c>
      <c r="H117">
        <v>-0.69467546381929424</v>
      </c>
      <c r="I117">
        <f t="shared" si="15"/>
        <v>135.55765858689364</v>
      </c>
      <c r="K117">
        <f t="shared" si="16"/>
        <v>159.93709221698282</v>
      </c>
      <c r="O117">
        <f t="shared" si="17"/>
        <v>-24.379433630089181</v>
      </c>
      <c r="P117">
        <f t="shared" si="18"/>
        <v>594.35678412392338</v>
      </c>
    </row>
    <row r="118" spans="1:16" x14ac:dyDescent="0.45">
      <c r="A118">
        <f t="shared" si="19"/>
        <v>103</v>
      </c>
      <c r="B118">
        <f t="shared" si="20"/>
        <v>10.19999999999998</v>
      </c>
      <c r="C118">
        <f t="shared" si="21"/>
        <v>10.19999999999998</v>
      </c>
      <c r="D118">
        <f t="shared" si="11"/>
        <v>104.03999999999958</v>
      </c>
      <c r="E118">
        <f t="shared" si="12"/>
        <v>104.03999999999958</v>
      </c>
      <c r="F118">
        <f t="shared" si="13"/>
        <v>104.03999999999958</v>
      </c>
      <c r="G118">
        <f t="shared" si="14"/>
        <v>156.64556885594897</v>
      </c>
      <c r="H118">
        <v>1.7928277884493582</v>
      </c>
      <c r="I118">
        <f t="shared" si="15"/>
        <v>203.56126748553842</v>
      </c>
      <c r="K118">
        <f t="shared" si="16"/>
        <v>162.93858794559463</v>
      </c>
      <c r="O118">
        <f t="shared" si="17"/>
        <v>40.622679539943789</v>
      </c>
      <c r="P118">
        <f t="shared" si="18"/>
        <v>1650.2020930049678</v>
      </c>
    </row>
    <row r="119" spans="1:16" x14ac:dyDescent="0.45">
      <c r="A119">
        <f t="shared" si="19"/>
        <v>104</v>
      </c>
      <c r="B119">
        <f t="shared" si="20"/>
        <v>10.299999999999979</v>
      </c>
      <c r="C119">
        <f t="shared" si="21"/>
        <v>10.299999999999979</v>
      </c>
      <c r="D119">
        <f t="shared" si="11"/>
        <v>106.08999999999958</v>
      </c>
      <c r="E119">
        <f t="shared" si="12"/>
        <v>106.08999999999958</v>
      </c>
      <c r="F119">
        <f t="shared" si="13"/>
        <v>106.08999999999958</v>
      </c>
      <c r="G119">
        <f t="shared" si="14"/>
        <v>159.5827309095832</v>
      </c>
      <c r="H119">
        <v>1.7407455743523315</v>
      </c>
      <c r="I119">
        <f t="shared" si="15"/>
        <v>205.13551366053645</v>
      </c>
      <c r="K119">
        <f t="shared" si="16"/>
        <v>165.96738260412485</v>
      </c>
      <c r="O119">
        <f t="shared" si="17"/>
        <v>39.168131056411596</v>
      </c>
      <c r="P119">
        <f t="shared" si="18"/>
        <v>1534.1424904522346</v>
      </c>
    </row>
    <row r="120" spans="1:16" x14ac:dyDescent="0.45">
      <c r="A120">
        <f t="shared" si="19"/>
        <v>105</v>
      </c>
      <c r="B120">
        <f t="shared" si="20"/>
        <v>10.399999999999979</v>
      </c>
      <c r="C120">
        <f t="shared" si="21"/>
        <v>10.399999999999979</v>
      </c>
      <c r="D120">
        <f t="shared" si="11"/>
        <v>108.15999999999957</v>
      </c>
      <c r="E120">
        <f t="shared" si="12"/>
        <v>108.15999999999957</v>
      </c>
      <c r="F120">
        <f t="shared" si="13"/>
        <v>108.15999999999957</v>
      </c>
      <c r="G120">
        <f t="shared" si="14"/>
        <v>162.54779242153904</v>
      </c>
      <c r="H120">
        <v>-1.4297961570264306</v>
      </c>
      <c r="I120">
        <f t="shared" si="15"/>
        <v>125.13210417921461</v>
      </c>
      <c r="K120">
        <f t="shared" si="16"/>
        <v>169.02347619257353</v>
      </c>
      <c r="O120">
        <f t="shared" si="17"/>
        <v>-43.891372013358918</v>
      </c>
      <c r="P120">
        <f t="shared" si="18"/>
        <v>1926.4525372150665</v>
      </c>
    </row>
    <row r="121" spans="1:16" x14ac:dyDescent="0.45">
      <c r="A121">
        <f t="shared" si="19"/>
        <v>106</v>
      </c>
      <c r="B121">
        <f t="shared" si="20"/>
        <v>10.499999999999979</v>
      </c>
      <c r="C121">
        <f t="shared" si="21"/>
        <v>10.499999999999979</v>
      </c>
      <c r="D121">
        <f t="shared" si="11"/>
        <v>110.24999999999955</v>
      </c>
      <c r="E121">
        <f t="shared" si="12"/>
        <v>110.24999999999955</v>
      </c>
      <c r="F121">
        <f t="shared" si="13"/>
        <v>110.24999999999955</v>
      </c>
      <c r="G121">
        <f t="shared" si="14"/>
        <v>165.54075339181651</v>
      </c>
      <c r="H121">
        <v>-0.83319264376768842</v>
      </c>
      <c r="I121">
        <f t="shared" si="15"/>
        <v>143.73731235456827</v>
      </c>
      <c r="K121">
        <f t="shared" si="16"/>
        <v>172.10686871094063</v>
      </c>
      <c r="O121">
        <f t="shared" si="17"/>
        <v>-28.369556356372357</v>
      </c>
      <c r="P121">
        <f t="shared" si="18"/>
        <v>804.83172785738714</v>
      </c>
    </row>
    <row r="122" spans="1:16" x14ac:dyDescent="0.45">
      <c r="A122">
        <f t="shared" si="19"/>
        <v>107</v>
      </c>
      <c r="B122">
        <f t="shared" si="20"/>
        <v>10.599999999999978</v>
      </c>
      <c r="C122">
        <f t="shared" si="21"/>
        <v>10.599999999999978</v>
      </c>
      <c r="D122">
        <f t="shared" si="11"/>
        <v>112.35999999999954</v>
      </c>
      <c r="E122">
        <f t="shared" si="12"/>
        <v>112.35999999999954</v>
      </c>
      <c r="F122">
        <f t="shared" si="13"/>
        <v>112.35999999999954</v>
      </c>
      <c r="G122">
        <f t="shared" si="14"/>
        <v>168.56161382041563</v>
      </c>
      <c r="H122">
        <v>4.8634092308930121E-2</v>
      </c>
      <c r="I122">
        <f t="shared" si="15"/>
        <v>169.83429736123853</v>
      </c>
      <c r="K122">
        <f t="shared" si="16"/>
        <v>175.21756015922622</v>
      </c>
      <c r="O122">
        <f t="shared" si="17"/>
        <v>-5.3832627979876975</v>
      </c>
      <c r="P122">
        <f t="shared" si="18"/>
        <v>28.979518352198333</v>
      </c>
    </row>
    <row r="123" spans="1:16" x14ac:dyDescent="0.45">
      <c r="A123">
        <f t="shared" si="19"/>
        <v>108</v>
      </c>
      <c r="B123">
        <f t="shared" si="20"/>
        <v>10.699999999999978</v>
      </c>
      <c r="C123">
        <f t="shared" si="21"/>
        <v>10.699999999999978</v>
      </c>
      <c r="D123">
        <f t="shared" si="11"/>
        <v>114.48999999999953</v>
      </c>
      <c r="E123">
        <f t="shared" si="12"/>
        <v>114.48999999999953</v>
      </c>
      <c r="F123">
        <f t="shared" si="13"/>
        <v>114.48999999999953</v>
      </c>
      <c r="G123">
        <f t="shared" si="14"/>
        <v>171.61037370733635</v>
      </c>
      <c r="H123">
        <v>0.24883092919480987</v>
      </c>
      <c r="I123">
        <f t="shared" si="15"/>
        <v>178.12191762641041</v>
      </c>
      <c r="K123">
        <f t="shared" si="16"/>
        <v>178.35555053743019</v>
      </c>
      <c r="O123">
        <f t="shared" si="17"/>
        <v>-0.23363291101978234</v>
      </c>
      <c r="P123">
        <f t="shared" si="18"/>
        <v>5.4584337111577536E-2</v>
      </c>
    </row>
    <row r="124" spans="1:16" x14ac:dyDescent="0.45">
      <c r="A124">
        <f t="shared" si="19"/>
        <v>109</v>
      </c>
      <c r="B124">
        <f t="shared" si="20"/>
        <v>10.799999999999978</v>
      </c>
      <c r="C124">
        <f t="shared" si="21"/>
        <v>10.799999999999978</v>
      </c>
      <c r="D124">
        <f t="shared" si="11"/>
        <v>116.63999999999952</v>
      </c>
      <c r="E124">
        <f t="shared" si="12"/>
        <v>116.63999999999952</v>
      </c>
      <c r="F124">
        <f t="shared" si="13"/>
        <v>116.63999999999952</v>
      </c>
      <c r="G124">
        <f t="shared" si="14"/>
        <v>174.6870330525787</v>
      </c>
      <c r="H124">
        <v>-0.18226728570880368</v>
      </c>
      <c r="I124">
        <f t="shared" si="15"/>
        <v>169.91736298084049</v>
      </c>
      <c r="K124">
        <f t="shared" si="16"/>
        <v>181.52083984555262</v>
      </c>
      <c r="O124">
        <f t="shared" si="17"/>
        <v>-11.603476864712121</v>
      </c>
      <c r="P124">
        <f t="shared" si="18"/>
        <v>134.64067534990943</v>
      </c>
    </row>
    <row r="125" spans="1:16" x14ac:dyDescent="0.45">
      <c r="A125">
        <f t="shared" si="19"/>
        <v>110</v>
      </c>
      <c r="B125">
        <f t="shared" si="20"/>
        <v>10.899999999999977</v>
      </c>
      <c r="C125">
        <f t="shared" si="21"/>
        <v>10.899999999999977</v>
      </c>
      <c r="D125">
        <f t="shared" si="11"/>
        <v>118.8099999999995</v>
      </c>
      <c r="E125">
        <f t="shared" si="12"/>
        <v>118.8099999999995</v>
      </c>
      <c r="F125">
        <f t="shared" si="13"/>
        <v>118.8099999999995</v>
      </c>
      <c r="G125">
        <f t="shared" si="14"/>
        <v>177.79159185614267</v>
      </c>
      <c r="H125">
        <v>0.75222033046884462</v>
      </c>
      <c r="I125">
        <f t="shared" si="15"/>
        <v>197.47610508975902</v>
      </c>
      <c r="K125">
        <f t="shared" si="16"/>
        <v>184.7134280835935</v>
      </c>
      <c r="O125">
        <f t="shared" si="17"/>
        <v>12.762677006165518</v>
      </c>
      <c r="P125">
        <f t="shared" si="18"/>
        <v>162.88592436370604</v>
      </c>
    </row>
    <row r="126" spans="1:16" x14ac:dyDescent="0.45">
      <c r="A126">
        <f t="shared" si="19"/>
        <v>111</v>
      </c>
      <c r="B126">
        <f t="shared" si="20"/>
        <v>10.999999999999977</v>
      </c>
      <c r="C126">
        <f t="shared" si="21"/>
        <v>10.999999999999977</v>
      </c>
      <c r="D126">
        <f t="shared" si="11"/>
        <v>120.99999999999949</v>
      </c>
      <c r="E126">
        <f t="shared" si="12"/>
        <v>120.99999999999949</v>
      </c>
      <c r="F126">
        <f t="shared" si="13"/>
        <v>120.99999999999949</v>
      </c>
      <c r="G126">
        <f t="shared" si="14"/>
        <v>180.92405011802828</v>
      </c>
      <c r="H126">
        <v>0.33960645851038862</v>
      </c>
      <c r="I126">
        <f t="shared" si="15"/>
        <v>189.81105776192257</v>
      </c>
      <c r="K126">
        <f t="shared" si="16"/>
        <v>187.93331525155281</v>
      </c>
      <c r="O126">
        <f t="shared" si="17"/>
        <v>1.8777425103697567</v>
      </c>
      <c r="P126">
        <f t="shared" si="18"/>
        <v>3.5259169352497159</v>
      </c>
    </row>
    <row r="127" spans="1:16" x14ac:dyDescent="0.45">
      <c r="A127">
        <f t="shared" si="19"/>
        <v>112</v>
      </c>
      <c r="B127">
        <f t="shared" si="20"/>
        <v>11.099999999999977</v>
      </c>
      <c r="C127">
        <f t="shared" si="21"/>
        <v>11.099999999999977</v>
      </c>
      <c r="D127">
        <f t="shared" si="11"/>
        <v>123.20999999999948</v>
      </c>
      <c r="E127">
        <f t="shared" si="12"/>
        <v>123.20999999999948</v>
      </c>
      <c r="F127">
        <f t="shared" si="13"/>
        <v>123.20999999999948</v>
      </c>
      <c r="G127">
        <f t="shared" si="14"/>
        <v>184.08440783823551</v>
      </c>
      <c r="H127">
        <v>0.40454551708535291</v>
      </c>
      <c r="I127">
        <f t="shared" si="15"/>
        <v>194.67077630251703</v>
      </c>
      <c r="K127">
        <f t="shared" si="16"/>
        <v>191.18050134943059</v>
      </c>
      <c r="O127">
        <f t="shared" si="17"/>
        <v>3.4902749530864412</v>
      </c>
      <c r="P127">
        <f t="shared" si="18"/>
        <v>12.182019248142559</v>
      </c>
    </row>
    <row r="128" spans="1:16" x14ac:dyDescent="0.45">
      <c r="A128">
        <f t="shared" si="19"/>
        <v>113</v>
      </c>
      <c r="B128">
        <f t="shared" si="20"/>
        <v>11.199999999999976</v>
      </c>
      <c r="C128">
        <f t="shared" si="21"/>
        <v>11.199999999999976</v>
      </c>
      <c r="D128">
        <f t="shared" si="11"/>
        <v>125.43999999999947</v>
      </c>
      <c r="E128">
        <f t="shared" si="12"/>
        <v>125.43999999999947</v>
      </c>
      <c r="F128">
        <f t="shared" si="13"/>
        <v>125.43999999999947</v>
      </c>
      <c r="G128">
        <f t="shared" si="14"/>
        <v>187.27266501676439</v>
      </c>
      <c r="H128">
        <v>-0.2562546796980314</v>
      </c>
      <c r="I128">
        <f t="shared" si="15"/>
        <v>180.56685233213776</v>
      </c>
      <c r="K128">
        <f t="shared" si="16"/>
        <v>194.45498637722676</v>
      </c>
      <c r="O128">
        <f t="shared" si="17"/>
        <v>-13.888134045089004</v>
      </c>
      <c r="P128">
        <f t="shared" si="18"/>
        <v>192.88026725436026</v>
      </c>
    </row>
    <row r="129" spans="1:16" x14ac:dyDescent="0.45">
      <c r="A129">
        <f t="shared" si="19"/>
        <v>114</v>
      </c>
      <c r="B129">
        <f t="shared" si="20"/>
        <v>11.299999999999976</v>
      </c>
      <c r="C129">
        <f t="shared" si="21"/>
        <v>11.299999999999976</v>
      </c>
      <c r="D129">
        <f t="shared" si="11"/>
        <v>127.68999999999946</v>
      </c>
      <c r="E129">
        <f t="shared" si="12"/>
        <v>127.68999999999946</v>
      </c>
      <c r="F129">
        <f t="shared" si="13"/>
        <v>127.68999999999946</v>
      </c>
      <c r="G129">
        <f t="shared" si="14"/>
        <v>190.48882165361482</v>
      </c>
      <c r="H129">
        <v>-0.30423507269006222</v>
      </c>
      <c r="I129">
        <f t="shared" si="15"/>
        <v>182.5274317896037</v>
      </c>
      <c r="K129">
        <f t="shared" si="16"/>
        <v>197.75677033494139</v>
      </c>
      <c r="O129">
        <f t="shared" si="17"/>
        <v>-15.229338545337697</v>
      </c>
      <c r="P129">
        <f t="shared" si="18"/>
        <v>231.93275252850853</v>
      </c>
    </row>
    <row r="130" spans="1:16" x14ac:dyDescent="0.45">
      <c r="A130">
        <f t="shared" si="19"/>
        <v>115</v>
      </c>
      <c r="B130">
        <f t="shared" si="20"/>
        <v>11.399999999999975</v>
      </c>
      <c r="C130">
        <f t="shared" si="21"/>
        <v>11.399999999999975</v>
      </c>
      <c r="D130">
        <f t="shared" si="11"/>
        <v>129.95999999999944</v>
      </c>
      <c r="E130">
        <f t="shared" si="12"/>
        <v>129.95999999999944</v>
      </c>
      <c r="F130">
        <f t="shared" si="13"/>
        <v>129.95999999999944</v>
      </c>
      <c r="G130">
        <f t="shared" si="14"/>
        <v>193.73287774878696</v>
      </c>
      <c r="H130">
        <v>-0.34504068935348187</v>
      </c>
      <c r="I130">
        <f t="shared" si="15"/>
        <v>184.70366417850042</v>
      </c>
      <c r="K130">
        <f t="shared" si="16"/>
        <v>201.08585322257443</v>
      </c>
      <c r="O130">
        <f t="shared" si="17"/>
        <v>-16.382189044074011</v>
      </c>
      <c r="P130">
        <f t="shared" si="18"/>
        <v>268.37611787577856</v>
      </c>
    </row>
    <row r="131" spans="1:16" x14ac:dyDescent="0.45">
      <c r="A131">
        <f t="shared" si="19"/>
        <v>116</v>
      </c>
      <c r="B131">
        <f t="shared" si="20"/>
        <v>11.499999999999975</v>
      </c>
      <c r="C131">
        <f t="shared" si="21"/>
        <v>11.499999999999975</v>
      </c>
      <c r="D131">
        <f t="shared" si="11"/>
        <v>132.24999999999943</v>
      </c>
      <c r="E131">
        <f t="shared" si="12"/>
        <v>132.24999999999943</v>
      </c>
      <c r="F131">
        <f t="shared" si="13"/>
        <v>132.24999999999943</v>
      </c>
      <c r="G131">
        <f t="shared" si="14"/>
        <v>197.00483330228067</v>
      </c>
      <c r="H131">
        <v>-6.8864665081491694E-2</v>
      </c>
      <c r="I131">
        <f t="shared" si="15"/>
        <v>195.20274506268166</v>
      </c>
      <c r="K131">
        <f t="shared" si="16"/>
        <v>204.44223504012598</v>
      </c>
      <c r="O131">
        <f t="shared" si="17"/>
        <v>-9.2394899774443218</v>
      </c>
      <c r="P131">
        <f t="shared" si="18"/>
        <v>85.368175043294073</v>
      </c>
    </row>
    <row r="132" spans="1:16" x14ac:dyDescent="0.45">
      <c r="A132">
        <f t="shared" si="19"/>
        <v>117</v>
      </c>
      <c r="B132">
        <f t="shared" si="20"/>
        <v>11.599999999999975</v>
      </c>
      <c r="C132">
        <f t="shared" si="21"/>
        <v>11.599999999999975</v>
      </c>
      <c r="D132">
        <f t="shared" si="11"/>
        <v>134.55999999999941</v>
      </c>
      <c r="E132">
        <f t="shared" si="12"/>
        <v>134.55999999999941</v>
      </c>
      <c r="F132">
        <f t="shared" si="13"/>
        <v>134.55999999999941</v>
      </c>
      <c r="G132">
        <f t="shared" si="14"/>
        <v>200.30468831409604</v>
      </c>
      <c r="H132">
        <v>1.3984026736579835</v>
      </c>
      <c r="I132">
        <f t="shared" si="15"/>
        <v>236.89885470466416</v>
      </c>
      <c r="K132">
        <f t="shared" si="16"/>
        <v>207.82591578759587</v>
      </c>
      <c r="O132">
        <f t="shared" si="17"/>
        <v>29.072938917068285</v>
      </c>
      <c r="P132">
        <f t="shared" si="18"/>
        <v>845.23577727558359</v>
      </c>
    </row>
    <row r="133" spans="1:16" x14ac:dyDescent="0.45">
      <c r="A133">
        <f t="shared" si="19"/>
        <v>118</v>
      </c>
      <c r="B133">
        <f t="shared" si="20"/>
        <v>11.699999999999974</v>
      </c>
      <c r="C133">
        <f t="shared" si="21"/>
        <v>11.699999999999974</v>
      </c>
      <c r="D133">
        <f t="shared" si="11"/>
        <v>136.88999999999939</v>
      </c>
      <c r="E133">
        <f t="shared" si="12"/>
        <v>136.88999999999939</v>
      </c>
      <c r="F133">
        <f t="shared" si="13"/>
        <v>136.88999999999939</v>
      </c>
      <c r="G133">
        <f t="shared" si="14"/>
        <v>203.63244278423304</v>
      </c>
      <c r="H133">
        <v>1.3706767276744358</v>
      </c>
      <c r="I133">
        <f t="shared" si="15"/>
        <v>239.5010614482627</v>
      </c>
      <c r="K133">
        <f t="shared" si="16"/>
        <v>211.23689546498429</v>
      </c>
      <c r="O133">
        <f t="shared" si="17"/>
        <v>28.264165983278417</v>
      </c>
      <c r="P133">
        <f t="shared" si="18"/>
        <v>798.86307873031285</v>
      </c>
    </row>
    <row r="134" spans="1:16" x14ac:dyDescent="0.45">
      <c r="A134">
        <f t="shared" si="19"/>
        <v>119</v>
      </c>
      <c r="B134">
        <f t="shared" si="20"/>
        <v>11.799999999999974</v>
      </c>
      <c r="C134">
        <f t="shared" si="21"/>
        <v>11.799999999999974</v>
      </c>
      <c r="D134">
        <f t="shared" si="11"/>
        <v>139.23999999999938</v>
      </c>
      <c r="E134">
        <f t="shared" si="12"/>
        <v>139.23999999999938</v>
      </c>
      <c r="F134">
        <f t="shared" si="13"/>
        <v>139.23999999999938</v>
      </c>
      <c r="G134">
        <f t="shared" si="14"/>
        <v>206.98809671269163</v>
      </c>
      <c r="H134">
        <v>-1.0059011401608586E-2</v>
      </c>
      <c r="I134">
        <f t="shared" si="15"/>
        <v>206.72486699789695</v>
      </c>
      <c r="K134">
        <f t="shared" si="16"/>
        <v>214.6751740722911</v>
      </c>
      <c r="O134">
        <f t="shared" si="17"/>
        <v>-7.9503070743941464</v>
      </c>
      <c r="P134">
        <f t="shared" si="18"/>
        <v>63.20738257716161</v>
      </c>
    </row>
    <row r="135" spans="1:16" x14ac:dyDescent="0.45">
      <c r="A135">
        <f t="shared" si="19"/>
        <v>120</v>
      </c>
      <c r="B135">
        <f t="shared" si="20"/>
        <v>11.899999999999974</v>
      </c>
      <c r="C135">
        <f t="shared" si="21"/>
        <v>11.899999999999974</v>
      </c>
      <c r="D135">
        <f t="shared" si="11"/>
        <v>141.60999999999939</v>
      </c>
      <c r="E135">
        <f t="shared" si="12"/>
        <v>141.60999999999939</v>
      </c>
      <c r="F135">
        <f t="shared" si="13"/>
        <v>141.60999999999939</v>
      </c>
      <c r="G135">
        <f t="shared" si="14"/>
        <v>210.37165009947191</v>
      </c>
      <c r="H135">
        <v>0.93674998424830846</v>
      </c>
      <c r="I135">
        <f t="shared" si="15"/>
        <v>234.88503629050021</v>
      </c>
      <c r="K135">
        <f t="shared" si="16"/>
        <v>218.1407516095164</v>
      </c>
      <c r="O135">
        <f t="shared" si="17"/>
        <v>16.74428468098381</v>
      </c>
      <c r="P135">
        <f t="shared" si="18"/>
        <v>280.37106947782911</v>
      </c>
    </row>
    <row r="136" spans="1:16" x14ac:dyDescent="0.45">
      <c r="A136">
        <f t="shared" si="19"/>
        <v>121</v>
      </c>
      <c r="B136">
        <f t="shared" si="20"/>
        <v>11.999999999999973</v>
      </c>
      <c r="C136">
        <f t="shared" si="21"/>
        <v>11.999999999999973</v>
      </c>
      <c r="D136">
        <f t="shared" si="11"/>
        <v>143.99999999999937</v>
      </c>
      <c r="E136">
        <f t="shared" si="12"/>
        <v>143.99999999999937</v>
      </c>
      <c r="F136">
        <f t="shared" si="13"/>
        <v>143.99999999999937</v>
      </c>
      <c r="G136">
        <f t="shared" si="14"/>
        <v>213.78310294457378</v>
      </c>
      <c r="H136">
        <v>0.77423010225174949</v>
      </c>
      <c r="I136">
        <f t="shared" si="15"/>
        <v>234.04357993027247</v>
      </c>
      <c r="K136">
        <f t="shared" si="16"/>
        <v>221.6336280766601</v>
      </c>
      <c r="O136">
        <f t="shared" si="17"/>
        <v>12.40995185361237</v>
      </c>
      <c r="P136">
        <f t="shared" si="18"/>
        <v>154.0069050089771</v>
      </c>
    </row>
    <row r="137" spans="1:16" x14ac:dyDescent="0.45">
      <c r="A137">
        <f t="shared" si="19"/>
        <v>122</v>
      </c>
      <c r="B137">
        <f t="shared" si="20"/>
        <v>12.099999999999973</v>
      </c>
      <c r="C137">
        <f t="shared" si="21"/>
        <v>12.099999999999973</v>
      </c>
      <c r="D137">
        <f t="shared" si="11"/>
        <v>146.40999999999934</v>
      </c>
      <c r="E137">
        <f t="shared" si="12"/>
        <v>146.40999999999934</v>
      </c>
      <c r="F137">
        <f t="shared" si="13"/>
        <v>146.40999999999934</v>
      </c>
      <c r="G137">
        <f t="shared" si="14"/>
        <v>217.22245524799723</v>
      </c>
      <c r="H137">
        <v>-1.3205499271862209</v>
      </c>
      <c r="I137">
        <f t="shared" si="15"/>
        <v>182.66558212925761</v>
      </c>
      <c r="K137">
        <f t="shared" si="16"/>
        <v>225.15380347372223</v>
      </c>
      <c r="O137">
        <f t="shared" si="17"/>
        <v>-42.48822134446462</v>
      </c>
      <c r="P137">
        <f t="shared" si="18"/>
        <v>1805.2489530162188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1BE0-FCA2-47DA-9A32-DAD3EB16EEDB}">
  <dimension ref="A1:BA55"/>
  <sheetViews>
    <sheetView workbookViewId="0">
      <selection activeCell="J2" sqref="J2"/>
    </sheetView>
  </sheetViews>
  <sheetFormatPr defaultRowHeight="14.25" x14ac:dyDescent="0.45"/>
  <sheetData>
    <row r="1" spans="1:53" x14ac:dyDescent="0.45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53" x14ac:dyDescent="0.45">
      <c r="A2">
        <v>3.6108939487603493</v>
      </c>
      <c r="B2">
        <v>0.2180988197622355</v>
      </c>
      <c r="C2">
        <v>0.55657693691318855</v>
      </c>
      <c r="D2">
        <v>0.49982026110956213</v>
      </c>
      <c r="E2">
        <v>0.44327038166375132</v>
      </c>
      <c r="F2">
        <v>0.45188227330800146</v>
      </c>
    </row>
    <row r="4" spans="1:53" x14ac:dyDescent="0.45">
      <c r="B4" t="s">
        <v>79</v>
      </c>
      <c r="C4">
        <v>0</v>
      </c>
      <c r="D4">
        <f>C4+0.2</f>
        <v>0.2</v>
      </c>
      <c r="E4">
        <f t="shared" ref="E4:BA4" si="0">D4+0.2</f>
        <v>0.4</v>
      </c>
      <c r="F4">
        <f t="shared" si="0"/>
        <v>0.60000000000000009</v>
      </c>
      <c r="G4">
        <f t="shared" si="0"/>
        <v>0.8</v>
      </c>
      <c r="H4">
        <f t="shared" si="0"/>
        <v>1</v>
      </c>
      <c r="I4">
        <f t="shared" si="0"/>
        <v>1.2</v>
      </c>
      <c r="J4">
        <f t="shared" si="0"/>
        <v>1.4</v>
      </c>
      <c r="K4">
        <f t="shared" si="0"/>
        <v>1.5999999999999999</v>
      </c>
      <c r="L4">
        <f t="shared" si="0"/>
        <v>1.7999999999999998</v>
      </c>
      <c r="M4">
        <f t="shared" si="0"/>
        <v>1.9999999999999998</v>
      </c>
      <c r="N4">
        <f t="shared" si="0"/>
        <v>2.1999999999999997</v>
      </c>
      <c r="O4">
        <f t="shared" si="0"/>
        <v>2.4</v>
      </c>
      <c r="P4">
        <f t="shared" si="0"/>
        <v>2.6</v>
      </c>
      <c r="Q4">
        <f t="shared" si="0"/>
        <v>2.8000000000000003</v>
      </c>
      <c r="R4">
        <f t="shared" si="0"/>
        <v>3.0000000000000004</v>
      </c>
      <c r="S4">
        <f t="shared" si="0"/>
        <v>3.2000000000000006</v>
      </c>
      <c r="T4">
        <f t="shared" si="0"/>
        <v>3.4000000000000008</v>
      </c>
      <c r="U4">
        <f t="shared" si="0"/>
        <v>3.600000000000001</v>
      </c>
      <c r="V4">
        <f t="shared" si="0"/>
        <v>3.8000000000000012</v>
      </c>
      <c r="W4">
        <f t="shared" si="0"/>
        <v>4.0000000000000009</v>
      </c>
      <c r="X4">
        <f t="shared" si="0"/>
        <v>4.2000000000000011</v>
      </c>
      <c r="Y4">
        <f t="shared" si="0"/>
        <v>4.4000000000000012</v>
      </c>
      <c r="Z4">
        <f>Y4+0.2</f>
        <v>4.6000000000000014</v>
      </c>
      <c r="AA4">
        <f t="shared" si="0"/>
        <v>4.8000000000000016</v>
      </c>
      <c r="AB4">
        <f t="shared" si="0"/>
        <v>5.0000000000000018</v>
      </c>
      <c r="AC4">
        <f t="shared" si="0"/>
        <v>5.200000000000002</v>
      </c>
      <c r="AD4">
        <f t="shared" si="0"/>
        <v>5.4000000000000021</v>
      </c>
      <c r="AE4">
        <f t="shared" si="0"/>
        <v>5.6000000000000023</v>
      </c>
      <c r="AF4">
        <f t="shared" si="0"/>
        <v>5.8000000000000025</v>
      </c>
      <c r="AG4">
        <f t="shared" si="0"/>
        <v>6.0000000000000027</v>
      </c>
      <c r="AH4">
        <f t="shared" si="0"/>
        <v>6.2000000000000028</v>
      </c>
      <c r="AI4">
        <f t="shared" si="0"/>
        <v>6.400000000000003</v>
      </c>
      <c r="AJ4">
        <f t="shared" si="0"/>
        <v>6.6000000000000032</v>
      </c>
      <c r="AK4">
        <f t="shared" si="0"/>
        <v>6.8000000000000034</v>
      </c>
      <c r="AL4">
        <f t="shared" si="0"/>
        <v>7.0000000000000036</v>
      </c>
      <c r="AM4">
        <f t="shared" si="0"/>
        <v>7.2000000000000037</v>
      </c>
      <c r="AN4">
        <f t="shared" si="0"/>
        <v>7.4000000000000039</v>
      </c>
      <c r="AO4">
        <f t="shared" si="0"/>
        <v>7.6000000000000041</v>
      </c>
      <c r="AP4">
        <f t="shared" si="0"/>
        <v>7.8000000000000043</v>
      </c>
      <c r="AQ4">
        <f t="shared" si="0"/>
        <v>8.0000000000000036</v>
      </c>
      <c r="AR4">
        <f t="shared" si="0"/>
        <v>8.2000000000000028</v>
      </c>
      <c r="AS4">
        <f t="shared" si="0"/>
        <v>8.4000000000000021</v>
      </c>
      <c r="AT4">
        <f t="shared" si="0"/>
        <v>8.6000000000000014</v>
      </c>
      <c r="AU4">
        <f t="shared" si="0"/>
        <v>8.8000000000000007</v>
      </c>
      <c r="AV4">
        <f>AU4+0.2</f>
        <v>9</v>
      </c>
      <c r="AW4">
        <f t="shared" si="0"/>
        <v>9.1999999999999993</v>
      </c>
      <c r="AX4">
        <f t="shared" si="0"/>
        <v>9.3999999999999986</v>
      </c>
      <c r="AY4">
        <f t="shared" si="0"/>
        <v>9.5999999999999979</v>
      </c>
      <c r="AZ4">
        <f t="shared" si="0"/>
        <v>9.7999999999999972</v>
      </c>
      <c r="BA4">
        <f t="shared" si="0"/>
        <v>9.9999999999999964</v>
      </c>
    </row>
    <row r="5" spans="1:53" x14ac:dyDescent="0.45">
      <c r="B5">
        <v>0</v>
      </c>
      <c r="C5">
        <f>$A$2+$B$2*C$4+$C$2*$B5+$D$2*C$4^2+$E$2*$B5^2+$F$2*C$4*$B5</f>
        <v>3.6108939487603493</v>
      </c>
      <c r="D5">
        <f t="shared" ref="D5:BA10" si="1">$A$2+$B$2*D$4+$C$2*$B5+$D$2*D$4^2+$E$2*$B5^2+$F$2*D$4*$B5</f>
        <v>3.674506523157179</v>
      </c>
      <c r="E5">
        <f t="shared" si="1"/>
        <v>3.7781047184427736</v>
      </c>
      <c r="F5">
        <f t="shared" si="1"/>
        <v>3.9216885346171333</v>
      </c>
      <c r="G5">
        <f t="shared" si="1"/>
        <v>4.105257971680258</v>
      </c>
      <c r="H5">
        <f t="shared" si="1"/>
        <v>4.3288130296321468</v>
      </c>
      <c r="I5">
        <f t="shared" si="1"/>
        <v>4.5923537084728014</v>
      </c>
      <c r="J5">
        <f t="shared" si="1"/>
        <v>4.8958800082022202</v>
      </c>
      <c r="K5">
        <f t="shared" si="1"/>
        <v>5.2393919288204049</v>
      </c>
      <c r="L5">
        <f t="shared" si="1"/>
        <v>5.6228894703273546</v>
      </c>
      <c r="M5">
        <f t="shared" si="1"/>
        <v>6.0463726327230685</v>
      </c>
      <c r="N5">
        <f t="shared" si="1"/>
        <v>6.5098414160075482</v>
      </c>
      <c r="O5">
        <f t="shared" si="1"/>
        <v>7.013295820180792</v>
      </c>
      <c r="P5">
        <f t="shared" si="1"/>
        <v>7.5567358452428017</v>
      </c>
      <c r="Q5">
        <f t="shared" si="1"/>
        <v>8.1401614911935773</v>
      </c>
      <c r="R5">
        <f t="shared" si="1"/>
        <v>8.7635727580331171</v>
      </c>
      <c r="S5">
        <f t="shared" si="1"/>
        <v>9.4269696457614209</v>
      </c>
      <c r="T5">
        <f t="shared" si="1"/>
        <v>10.130352154378492</v>
      </c>
      <c r="U5">
        <f t="shared" si="1"/>
        <v>10.873720283884325</v>
      </c>
      <c r="V5">
        <f t="shared" si="1"/>
        <v>11.657074034278926</v>
      </c>
      <c r="W5">
        <f t="shared" si="1"/>
        <v>12.480413405562288</v>
      </c>
      <c r="X5">
        <f t="shared" si="1"/>
        <v>13.343738397734418</v>
      </c>
      <c r="Y5">
        <f t="shared" si="1"/>
        <v>14.247049010795314</v>
      </c>
      <c r="Z5">
        <f t="shared" si="1"/>
        <v>15.190345244744975</v>
      </c>
      <c r="AA5">
        <f t="shared" si="1"/>
        <v>16.173627099583399</v>
      </c>
      <c r="AB5">
        <f t="shared" si="1"/>
        <v>17.196894575310587</v>
      </c>
      <c r="AC5">
        <f t="shared" si="1"/>
        <v>18.260147671926546</v>
      </c>
      <c r="AD5">
        <f t="shared" si="1"/>
        <v>19.363386389431263</v>
      </c>
      <c r="AE5">
        <f t="shared" si="1"/>
        <v>20.50661072782475</v>
      </c>
      <c r="AF5">
        <f t="shared" si="1"/>
        <v>21.689820687107002</v>
      </c>
      <c r="AG5">
        <f t="shared" si="1"/>
        <v>22.913016267278014</v>
      </c>
      <c r="AH5">
        <f t="shared" si="1"/>
        <v>24.176197468337794</v>
      </c>
      <c r="AI5">
        <f t="shared" si="1"/>
        <v>25.479364290286341</v>
      </c>
      <c r="AJ5">
        <f t="shared" si="1"/>
        <v>26.822516733123653</v>
      </c>
      <c r="AK5">
        <f t="shared" si="1"/>
        <v>28.205654796849728</v>
      </c>
      <c r="AL5">
        <f t="shared" si="1"/>
        <v>29.628778481464568</v>
      </c>
      <c r="AM5">
        <f t="shared" si="1"/>
        <v>31.091887786968172</v>
      </c>
      <c r="AN5">
        <f t="shared" si="1"/>
        <v>32.594982713360544</v>
      </c>
      <c r="AO5">
        <f t="shared" si="1"/>
        <v>34.13806326064168</v>
      </c>
      <c r="AP5">
        <f t="shared" si="1"/>
        <v>35.721129428811579</v>
      </c>
      <c r="AQ5">
        <f t="shared" si="1"/>
        <v>37.344181217870236</v>
      </c>
      <c r="AR5">
        <f t="shared" si="1"/>
        <v>39.007218627817664</v>
      </c>
      <c r="AS5">
        <f t="shared" si="1"/>
        <v>40.71024165865385</v>
      </c>
      <c r="AT5">
        <f t="shared" si="1"/>
        <v>42.453250310378799</v>
      </c>
      <c r="AU5">
        <f t="shared" si="1"/>
        <v>44.236244582992519</v>
      </c>
      <c r="AV5">
        <f t="shared" si="1"/>
        <v>46.059224476495004</v>
      </c>
      <c r="AW5">
        <f t="shared" si="1"/>
        <v>47.922189990886245</v>
      </c>
      <c r="AX5">
        <f t="shared" si="1"/>
        <v>49.825141126166258</v>
      </c>
      <c r="AY5">
        <f t="shared" si="1"/>
        <v>51.768077882335035</v>
      </c>
      <c r="AZ5">
        <f t="shared" si="1"/>
        <v>53.751000259392576</v>
      </c>
      <c r="BA5">
        <f t="shared" si="1"/>
        <v>55.773908257338881</v>
      </c>
    </row>
    <row r="6" spans="1:53" x14ac:dyDescent="0.45">
      <c r="B6">
        <f>B5+0.2</f>
        <v>0.2</v>
      </c>
      <c r="C6">
        <f t="shared" ref="C6:R26" si="2">$A$2+$B$2*C$4+$C$2*$B6+$D$2*C$4^2+$E$2*$B6^2+$F$2*C$4*$B6</f>
        <v>3.7399401514095372</v>
      </c>
      <c r="D6">
        <f t="shared" si="1"/>
        <v>3.8216280167386869</v>
      </c>
      <c r="E6">
        <f t="shared" si="1"/>
        <v>3.9433015029566016</v>
      </c>
      <c r="F6">
        <f t="shared" si="1"/>
        <v>4.1049606100632801</v>
      </c>
      <c r="G6">
        <f t="shared" si="1"/>
        <v>4.3066053380587253</v>
      </c>
      <c r="H6">
        <f t="shared" si="1"/>
        <v>4.5482356869429346</v>
      </c>
      <c r="I6">
        <f t="shared" si="1"/>
        <v>4.8298516567159089</v>
      </c>
      <c r="J6">
        <f t="shared" si="1"/>
        <v>5.1514532473776473</v>
      </c>
      <c r="K6">
        <f t="shared" si="1"/>
        <v>5.5130404589281525</v>
      </c>
      <c r="L6">
        <f t="shared" si="1"/>
        <v>5.9146132913674219</v>
      </c>
      <c r="M6">
        <f t="shared" si="1"/>
        <v>6.3561717446954562</v>
      </c>
      <c r="N6">
        <f t="shared" si="1"/>
        <v>6.8377158189122555</v>
      </c>
      <c r="O6">
        <f t="shared" si="1"/>
        <v>7.3592455140178199</v>
      </c>
      <c r="P6">
        <f t="shared" si="1"/>
        <v>7.9207608300121493</v>
      </c>
      <c r="Q6">
        <f t="shared" si="1"/>
        <v>8.5222617668952427</v>
      </c>
      <c r="R6">
        <f t="shared" si="1"/>
        <v>9.1637483246671056</v>
      </c>
      <c r="S6">
        <f t="shared" si="1"/>
        <v>9.8452205033277291</v>
      </c>
      <c r="T6">
        <f t="shared" si="1"/>
        <v>10.566678302877119</v>
      </c>
      <c r="U6">
        <f t="shared" si="1"/>
        <v>11.328121723315274</v>
      </c>
      <c r="V6">
        <f t="shared" si="1"/>
        <v>12.129550764642195</v>
      </c>
      <c r="W6">
        <f t="shared" si="1"/>
        <v>12.970965426857878</v>
      </c>
      <c r="X6">
        <f t="shared" si="1"/>
        <v>13.852365709962326</v>
      </c>
      <c r="Y6">
        <f t="shared" si="1"/>
        <v>14.773751613955541</v>
      </c>
      <c r="Z6">
        <f t="shared" si="1"/>
        <v>15.735123138837524</v>
      </c>
      <c r="AA6">
        <f t="shared" si="1"/>
        <v>16.73648028460827</v>
      </c>
      <c r="AB6">
        <f t="shared" si="1"/>
        <v>17.777823051267777</v>
      </c>
      <c r="AC6">
        <f t="shared" si="1"/>
        <v>18.859151438816053</v>
      </c>
      <c r="AD6">
        <f t="shared" si="1"/>
        <v>19.980465447253092</v>
      </c>
      <c r="AE6">
        <f t="shared" si="1"/>
        <v>21.141765076578896</v>
      </c>
      <c r="AF6">
        <f t="shared" si="1"/>
        <v>22.34305032679347</v>
      </c>
      <c r="AG6">
        <f t="shared" si="1"/>
        <v>23.584321197896802</v>
      </c>
      <c r="AH6">
        <f t="shared" si="1"/>
        <v>24.865577689888905</v>
      </c>
      <c r="AI6">
        <f t="shared" si="1"/>
        <v>26.186819802769769</v>
      </c>
      <c r="AJ6">
        <f t="shared" si="1"/>
        <v>27.5480475365394</v>
      </c>
      <c r="AK6">
        <f t="shared" si="1"/>
        <v>28.949260891197795</v>
      </c>
      <c r="AL6">
        <f t="shared" si="1"/>
        <v>30.390459866744955</v>
      </c>
      <c r="AM6">
        <f t="shared" si="1"/>
        <v>31.871644463180882</v>
      </c>
      <c r="AN6">
        <f t="shared" si="1"/>
        <v>33.39281468050558</v>
      </c>
      <c r="AO6">
        <f t="shared" si="1"/>
        <v>34.953970518719032</v>
      </c>
      <c r="AP6">
        <f t="shared" si="1"/>
        <v>36.555111977821255</v>
      </c>
      <c r="AQ6">
        <f t="shared" si="1"/>
        <v>38.196239057812228</v>
      </c>
      <c r="AR6">
        <f t="shared" si="1"/>
        <v>39.877351758691979</v>
      </c>
      <c r="AS6">
        <f t="shared" si="1"/>
        <v>41.598450080460481</v>
      </c>
      <c r="AT6">
        <f t="shared" si="1"/>
        <v>43.359534023117753</v>
      </c>
      <c r="AU6">
        <f t="shared" si="1"/>
        <v>45.160603586663797</v>
      </c>
      <c r="AV6">
        <f t="shared" si="1"/>
        <v>47.00165877109859</v>
      </c>
      <c r="AW6">
        <f t="shared" si="1"/>
        <v>48.882699576422162</v>
      </c>
      <c r="AX6">
        <f t="shared" si="1"/>
        <v>50.803726002634491</v>
      </c>
      <c r="AY6">
        <f t="shared" si="1"/>
        <v>52.764738049735584</v>
      </c>
      <c r="AZ6">
        <f t="shared" si="1"/>
        <v>54.765735717725448</v>
      </c>
      <c r="BA6">
        <f t="shared" si="1"/>
        <v>56.806719006604077</v>
      </c>
    </row>
    <row r="7" spans="1:53" x14ac:dyDescent="0.45">
      <c r="B7">
        <f t="shared" ref="B7:B55" si="3">B6+0.2</f>
        <v>0.4</v>
      </c>
      <c r="C7">
        <f t="shared" si="2"/>
        <v>3.9044479845918252</v>
      </c>
      <c r="D7">
        <f t="shared" si="1"/>
        <v>4.004211140853295</v>
      </c>
      <c r="E7">
        <f t="shared" si="1"/>
        <v>4.1439599180035298</v>
      </c>
      <c r="F7">
        <f t="shared" si="1"/>
        <v>4.3236943160425296</v>
      </c>
      <c r="G7">
        <f t="shared" si="1"/>
        <v>4.5434143349702945</v>
      </c>
      <c r="H7">
        <f t="shared" si="1"/>
        <v>4.8031199747868234</v>
      </c>
      <c r="I7">
        <f t="shared" si="1"/>
        <v>5.1028112354921173</v>
      </c>
      <c r="J7">
        <f t="shared" si="1"/>
        <v>5.4424881170861772</v>
      </c>
      <c r="K7">
        <f t="shared" si="1"/>
        <v>5.8221506195690012</v>
      </c>
      <c r="L7">
        <f t="shared" si="1"/>
        <v>6.241798742940591</v>
      </c>
      <c r="M7">
        <f t="shared" si="1"/>
        <v>6.701432487200945</v>
      </c>
      <c r="N7">
        <f t="shared" si="1"/>
        <v>7.201051852350064</v>
      </c>
      <c r="O7">
        <f t="shared" si="1"/>
        <v>7.7406568383879488</v>
      </c>
      <c r="P7">
        <f t="shared" si="1"/>
        <v>8.3202474453145996</v>
      </c>
      <c r="Q7">
        <f t="shared" si="1"/>
        <v>8.9398236731300145</v>
      </c>
      <c r="R7">
        <f t="shared" si="1"/>
        <v>9.5993855218341935</v>
      </c>
      <c r="S7">
        <f t="shared" si="1"/>
        <v>10.298932991427138</v>
      </c>
      <c r="T7">
        <f t="shared" si="1"/>
        <v>11.038466081908849</v>
      </c>
      <c r="U7">
        <f t="shared" si="1"/>
        <v>11.817984793279324</v>
      </c>
      <c r="V7">
        <f t="shared" si="1"/>
        <v>12.637489125538565</v>
      </c>
      <c r="W7">
        <f t="shared" si="1"/>
        <v>13.496979078686568</v>
      </c>
      <c r="X7">
        <f t="shared" si="1"/>
        <v>14.396454652723337</v>
      </c>
      <c r="Y7">
        <f t="shared" si="1"/>
        <v>15.335915847648874</v>
      </c>
      <c r="Z7">
        <f t="shared" si="1"/>
        <v>16.315362663463173</v>
      </c>
      <c r="AA7">
        <f t="shared" si="1"/>
        <v>17.334795100166239</v>
      </c>
      <c r="AB7">
        <f t="shared" si="1"/>
        <v>18.394213157758067</v>
      </c>
      <c r="AC7">
        <f t="shared" si="1"/>
        <v>19.493616836238662</v>
      </c>
      <c r="AD7">
        <f t="shared" si="1"/>
        <v>20.633006135608024</v>
      </c>
      <c r="AE7">
        <f t="shared" si="1"/>
        <v>21.812381055866148</v>
      </c>
      <c r="AF7">
        <f t="shared" si="1"/>
        <v>23.031741597013038</v>
      </c>
      <c r="AG7">
        <f t="shared" si="1"/>
        <v>24.29108775904869</v>
      </c>
      <c r="AH7">
        <f t="shared" si="1"/>
        <v>25.590419541973112</v>
      </c>
      <c r="AI7">
        <f t="shared" si="1"/>
        <v>26.929736945786299</v>
      </c>
      <c r="AJ7">
        <f t="shared" si="1"/>
        <v>28.30903997048825</v>
      </c>
      <c r="AK7">
        <f t="shared" si="1"/>
        <v>29.728328616078965</v>
      </c>
      <c r="AL7">
        <f t="shared" si="1"/>
        <v>31.187602882558448</v>
      </c>
      <c r="AM7">
        <f t="shared" si="1"/>
        <v>32.686862769926691</v>
      </c>
      <c r="AN7">
        <f t="shared" si="1"/>
        <v>34.226108278183702</v>
      </c>
      <c r="AO7">
        <f t="shared" si="1"/>
        <v>35.805339407329484</v>
      </c>
      <c r="AP7">
        <f t="shared" si="1"/>
        <v>37.424556157364023</v>
      </c>
      <c r="AQ7">
        <f t="shared" si="1"/>
        <v>39.083758528287319</v>
      </c>
      <c r="AR7">
        <f t="shared" si="1"/>
        <v>40.782946520099387</v>
      </c>
      <c r="AS7">
        <f t="shared" si="1"/>
        <v>42.522120132800204</v>
      </c>
      <c r="AT7">
        <f t="shared" si="1"/>
        <v>44.301279366389799</v>
      </c>
      <c r="AU7">
        <f t="shared" si="1"/>
        <v>46.120424220868159</v>
      </c>
      <c r="AV7">
        <f t="shared" si="1"/>
        <v>47.979554696235276</v>
      </c>
      <c r="AW7">
        <f t="shared" si="1"/>
        <v>49.878670792491164</v>
      </c>
      <c r="AX7">
        <f t="shared" si="1"/>
        <v>51.817772509635823</v>
      </c>
      <c r="AY7">
        <f t="shared" si="1"/>
        <v>53.796859847669232</v>
      </c>
      <c r="AZ7">
        <f t="shared" si="1"/>
        <v>55.81593280659142</v>
      </c>
      <c r="BA7">
        <f t="shared" si="1"/>
        <v>57.874991386402357</v>
      </c>
    </row>
    <row r="8" spans="1:53" x14ac:dyDescent="0.45">
      <c r="B8">
        <f t="shared" si="3"/>
        <v>0.60000000000000009</v>
      </c>
      <c r="C8">
        <f t="shared" si="2"/>
        <v>4.1044174483072124</v>
      </c>
      <c r="D8">
        <f t="shared" si="1"/>
        <v>4.2222558955010019</v>
      </c>
      <c r="E8">
        <f t="shared" si="1"/>
        <v>4.3800799635835572</v>
      </c>
      <c r="F8">
        <f t="shared" si="1"/>
        <v>4.5778896525548767</v>
      </c>
      <c r="G8">
        <f t="shared" si="1"/>
        <v>4.815684962414962</v>
      </c>
      <c r="H8">
        <f t="shared" si="1"/>
        <v>5.0934658931638106</v>
      </c>
      <c r="I8">
        <f t="shared" si="1"/>
        <v>5.411232444801426</v>
      </c>
      <c r="J8">
        <f t="shared" si="1"/>
        <v>5.7689846173278045</v>
      </c>
      <c r="K8">
        <f t="shared" si="1"/>
        <v>6.1667224107429508</v>
      </c>
      <c r="L8">
        <f t="shared" si="1"/>
        <v>6.6044458250468585</v>
      </c>
      <c r="M8">
        <f t="shared" si="1"/>
        <v>7.0821548602395321</v>
      </c>
      <c r="N8">
        <f t="shared" si="1"/>
        <v>7.5998495163209725</v>
      </c>
      <c r="O8">
        <f t="shared" si="1"/>
        <v>8.157529793291177</v>
      </c>
      <c r="P8">
        <f t="shared" si="1"/>
        <v>8.7551956911501474</v>
      </c>
      <c r="Q8">
        <f t="shared" si="1"/>
        <v>9.3928472098978819</v>
      </c>
      <c r="R8">
        <f t="shared" si="1"/>
        <v>10.070484349534384</v>
      </c>
      <c r="S8">
        <f t="shared" si="1"/>
        <v>10.788107110059649</v>
      </c>
      <c r="T8">
        <f t="shared" si="1"/>
        <v>11.545715491473677</v>
      </c>
      <c r="U8">
        <f t="shared" si="1"/>
        <v>12.343309493776472</v>
      </c>
      <c r="V8">
        <f t="shared" si="1"/>
        <v>13.180889116968032</v>
      </c>
      <c r="W8">
        <f t="shared" si="1"/>
        <v>14.058454361048357</v>
      </c>
      <c r="X8">
        <f t="shared" si="1"/>
        <v>14.976005226017444</v>
      </c>
      <c r="Y8">
        <f t="shared" si="1"/>
        <v>15.9335417118753</v>
      </c>
      <c r="Z8">
        <f t="shared" si="1"/>
        <v>16.931063818621922</v>
      </c>
      <c r="AA8">
        <f t="shared" si="1"/>
        <v>17.968571546257309</v>
      </c>
      <c r="AB8">
        <f t="shared" si="1"/>
        <v>19.046064894781455</v>
      </c>
      <c r="AC8">
        <f t="shared" si="1"/>
        <v>20.163543864194374</v>
      </c>
      <c r="AD8">
        <f t="shared" si="1"/>
        <v>21.321008454496052</v>
      </c>
      <c r="AE8">
        <f t="shared" si="1"/>
        <v>22.518458665686495</v>
      </c>
      <c r="AF8">
        <f t="shared" si="1"/>
        <v>23.755894497765709</v>
      </c>
      <c r="AG8">
        <f t="shared" si="1"/>
        <v>25.033315950733684</v>
      </c>
      <c r="AH8">
        <f t="shared" si="1"/>
        <v>26.350723024590422</v>
      </c>
      <c r="AI8">
        <f t="shared" si="1"/>
        <v>27.708115719335929</v>
      </c>
      <c r="AJ8">
        <f t="shared" si="1"/>
        <v>29.105494034970203</v>
      </c>
      <c r="AK8">
        <f t="shared" si="1"/>
        <v>30.542857971493238</v>
      </c>
      <c r="AL8">
        <f t="shared" si="1"/>
        <v>32.02020752890504</v>
      </c>
      <c r="AM8">
        <f t="shared" si="1"/>
        <v>33.537542707205603</v>
      </c>
      <c r="AN8">
        <f t="shared" si="1"/>
        <v>35.09486350639493</v>
      </c>
      <c r="AO8">
        <f t="shared" si="1"/>
        <v>36.692169926473028</v>
      </c>
      <c r="AP8">
        <f t="shared" si="1"/>
        <v>38.32946196743989</v>
      </c>
      <c r="AQ8">
        <f t="shared" si="1"/>
        <v>40.00673962929551</v>
      </c>
      <c r="AR8">
        <f t="shared" si="1"/>
        <v>41.724002912039893</v>
      </c>
      <c r="AS8">
        <f t="shared" si="1"/>
        <v>43.481251815673041</v>
      </c>
      <c r="AT8">
        <f t="shared" si="1"/>
        <v>45.278486340194952</v>
      </c>
      <c r="AU8">
        <f t="shared" si="1"/>
        <v>47.115706485605628</v>
      </c>
      <c r="AV8">
        <f t="shared" si="1"/>
        <v>48.992912251905075</v>
      </c>
      <c r="AW8">
        <f t="shared" si="1"/>
        <v>50.910103639093279</v>
      </c>
      <c r="AX8">
        <f t="shared" si="1"/>
        <v>52.867280647170247</v>
      </c>
      <c r="AY8">
        <f t="shared" si="1"/>
        <v>54.864443276135987</v>
      </c>
      <c r="AZ8">
        <f t="shared" si="1"/>
        <v>56.90159152599049</v>
      </c>
      <c r="BA8">
        <f t="shared" si="1"/>
        <v>58.978725396733751</v>
      </c>
    </row>
    <row r="9" spans="1:53" x14ac:dyDescent="0.45">
      <c r="B9">
        <f t="shared" si="3"/>
        <v>0.8</v>
      </c>
      <c r="C9">
        <f t="shared" si="2"/>
        <v>4.3398485425557016</v>
      </c>
      <c r="D9">
        <f t="shared" si="1"/>
        <v>4.4757622806818107</v>
      </c>
      <c r="E9">
        <f t="shared" si="1"/>
        <v>4.6516616396966866</v>
      </c>
      <c r="F9">
        <f t="shared" si="1"/>
        <v>4.8675466196003256</v>
      </c>
      <c r="G9">
        <f t="shared" si="1"/>
        <v>5.1234172203927315</v>
      </c>
      <c r="H9">
        <f t="shared" si="1"/>
        <v>5.4192734420739006</v>
      </c>
      <c r="I9">
        <f t="shared" si="1"/>
        <v>5.7551152846438338</v>
      </c>
      <c r="J9">
        <f t="shared" si="1"/>
        <v>6.1309427481025338</v>
      </c>
      <c r="K9">
        <f t="shared" si="1"/>
        <v>6.5467558324499988</v>
      </c>
      <c r="L9">
        <f t="shared" si="1"/>
        <v>7.0025545376862288</v>
      </c>
      <c r="M9">
        <f t="shared" si="1"/>
        <v>7.4983388638112229</v>
      </c>
      <c r="N9">
        <f t="shared" si="1"/>
        <v>8.0341088108249821</v>
      </c>
      <c r="O9">
        <f t="shared" si="1"/>
        <v>8.609864378727508</v>
      </c>
      <c r="P9">
        <f t="shared" si="1"/>
        <v>9.225605567518798</v>
      </c>
      <c r="Q9">
        <f t="shared" si="1"/>
        <v>9.8813323771988522</v>
      </c>
      <c r="R9">
        <f t="shared" si="1"/>
        <v>10.577044807767674</v>
      </c>
      <c r="S9">
        <f t="shared" si="1"/>
        <v>11.312742859225256</v>
      </c>
      <c r="T9">
        <f t="shared" si="1"/>
        <v>12.088426531571606</v>
      </c>
      <c r="U9">
        <f t="shared" si="1"/>
        <v>12.904095824806724</v>
      </c>
      <c r="V9">
        <f t="shared" si="1"/>
        <v>13.759750738930602</v>
      </c>
      <c r="W9">
        <f t="shared" si="1"/>
        <v>14.655391273943248</v>
      </c>
      <c r="X9">
        <f t="shared" si="1"/>
        <v>15.591017429844655</v>
      </c>
      <c r="Y9">
        <f t="shared" si="1"/>
        <v>16.566629206634833</v>
      </c>
      <c r="Z9">
        <f t="shared" si="1"/>
        <v>17.582226604313774</v>
      </c>
      <c r="AA9">
        <f t="shared" si="1"/>
        <v>18.63780962288148</v>
      </c>
      <c r="AB9">
        <f t="shared" si="1"/>
        <v>19.733378262337947</v>
      </c>
      <c r="AC9">
        <f t="shared" si="1"/>
        <v>20.868932522683185</v>
      </c>
      <c r="AD9">
        <f t="shared" si="1"/>
        <v>22.044472403917183</v>
      </c>
      <c r="AE9">
        <f t="shared" si="1"/>
        <v>23.259997906039949</v>
      </c>
      <c r="AF9">
        <f t="shared" si="1"/>
        <v>24.515509029051479</v>
      </c>
      <c r="AG9">
        <f t="shared" si="1"/>
        <v>25.811005772951777</v>
      </c>
      <c r="AH9">
        <f t="shared" si="1"/>
        <v>27.146488137740835</v>
      </c>
      <c r="AI9">
        <f t="shared" si="1"/>
        <v>28.521956123418661</v>
      </c>
      <c r="AJ9">
        <f t="shared" si="1"/>
        <v>29.937409729985255</v>
      </c>
      <c r="AK9">
        <f t="shared" si="1"/>
        <v>31.392848957440609</v>
      </c>
      <c r="AL9">
        <f t="shared" si="1"/>
        <v>32.888273805784728</v>
      </c>
      <c r="AM9">
        <f t="shared" si="1"/>
        <v>34.423684275017614</v>
      </c>
      <c r="AN9">
        <f t="shared" si="1"/>
        <v>35.999080365139264</v>
      </c>
      <c r="AO9">
        <f t="shared" si="1"/>
        <v>37.614462076149678</v>
      </c>
      <c r="AP9">
        <f t="shared" si="1"/>
        <v>39.269829408048864</v>
      </c>
      <c r="AQ9">
        <f t="shared" si="1"/>
        <v>40.965182360836799</v>
      </c>
      <c r="AR9">
        <f t="shared" si="1"/>
        <v>42.700520934513506</v>
      </c>
      <c r="AS9">
        <f t="shared" si="1"/>
        <v>44.475845129078969</v>
      </c>
      <c r="AT9">
        <f t="shared" si="1"/>
        <v>46.291154944533197</v>
      </c>
      <c r="AU9">
        <f t="shared" si="1"/>
        <v>48.146450380876203</v>
      </c>
      <c r="AV9">
        <f t="shared" si="1"/>
        <v>50.041731438107966</v>
      </c>
      <c r="AW9">
        <f t="shared" si="1"/>
        <v>51.976998116228486</v>
      </c>
      <c r="AX9">
        <f t="shared" si="1"/>
        <v>53.952250415237778</v>
      </c>
      <c r="AY9">
        <f t="shared" si="1"/>
        <v>55.967488335135833</v>
      </c>
      <c r="AZ9">
        <f t="shared" si="1"/>
        <v>58.02271187592266</v>
      </c>
      <c r="BA9">
        <f t="shared" si="1"/>
        <v>60.117921037598244</v>
      </c>
    </row>
    <row r="10" spans="1:53" x14ac:dyDescent="0.45">
      <c r="B10">
        <f t="shared" si="3"/>
        <v>1</v>
      </c>
      <c r="C10">
        <f t="shared" si="2"/>
        <v>4.6107412673372892</v>
      </c>
      <c r="D10">
        <f t="shared" si="1"/>
        <v>4.7647302963957188</v>
      </c>
      <c r="E10">
        <f t="shared" si="1"/>
        <v>4.9587049463429143</v>
      </c>
      <c r="F10">
        <f t="shared" si="1"/>
        <v>5.192665217178873</v>
      </c>
      <c r="G10">
        <f t="shared" si="1"/>
        <v>5.4666111089035994</v>
      </c>
      <c r="H10">
        <f t="shared" si="1"/>
        <v>5.7805426215170881</v>
      </c>
      <c r="I10">
        <f t="shared" ref="I10:X25" si="4">$A$2+$B$2*I$4+$C$2*$B10+$D$2*I$4^2+$E$2*$B10^2+$F$2*I$4*$B10</f>
        <v>6.1344597550193418</v>
      </c>
      <c r="J10">
        <f t="shared" si="4"/>
        <v>6.5283625094103623</v>
      </c>
      <c r="K10">
        <f t="shared" si="4"/>
        <v>6.962250884690147</v>
      </c>
      <c r="L10">
        <f t="shared" si="4"/>
        <v>7.4361248808586975</v>
      </c>
      <c r="M10">
        <f t="shared" si="4"/>
        <v>7.9499844979160113</v>
      </c>
      <c r="N10">
        <f t="shared" si="4"/>
        <v>8.5038297358620909</v>
      </c>
      <c r="O10">
        <f t="shared" si="4"/>
        <v>9.0976605946969347</v>
      </c>
      <c r="P10">
        <f t="shared" si="4"/>
        <v>9.7314770744205461</v>
      </c>
      <c r="Q10">
        <f t="shared" si="4"/>
        <v>10.405279175032922</v>
      </c>
      <c r="R10">
        <f t="shared" si="4"/>
        <v>11.119066896534061</v>
      </c>
      <c r="S10">
        <f t="shared" si="4"/>
        <v>11.872840238923965</v>
      </c>
      <c r="T10">
        <f t="shared" si="4"/>
        <v>12.666599202202638</v>
      </c>
      <c r="U10">
        <f t="shared" si="4"/>
        <v>13.50034378637007</v>
      </c>
      <c r="V10">
        <f t="shared" si="4"/>
        <v>14.374073991426272</v>
      </c>
      <c r="W10">
        <f t="shared" si="4"/>
        <v>15.287789817371234</v>
      </c>
      <c r="X10">
        <f t="shared" si="4"/>
        <v>16.241491264204964</v>
      </c>
      <c r="Y10">
        <f t="shared" ref="Y10:AN25" si="5">$A$2+$B$2*Y$4+$C$2*$B10+$D$2*Y$4^2+$E$2*$B10^2+$F$2*Y$4*$B10</f>
        <v>17.235178331927461</v>
      </c>
      <c r="Z10">
        <f t="shared" si="5"/>
        <v>18.268851020538722</v>
      </c>
      <c r="AA10">
        <f t="shared" si="5"/>
        <v>19.342509330038748</v>
      </c>
      <c r="AB10">
        <f t="shared" si="5"/>
        <v>20.456153260427534</v>
      </c>
      <c r="AC10">
        <f t="shared" si="5"/>
        <v>21.609782811705095</v>
      </c>
      <c r="AD10">
        <f t="shared" si="5"/>
        <v>22.803397983871413</v>
      </c>
      <c r="AE10">
        <f t="shared" si="5"/>
        <v>24.036998776926499</v>
      </c>
      <c r="AF10">
        <f t="shared" si="5"/>
        <v>25.310585190870352</v>
      </c>
      <c r="AG10">
        <f t="shared" si="5"/>
        <v>26.624157225702962</v>
      </c>
      <c r="AH10">
        <f t="shared" si="5"/>
        <v>27.977714881424344</v>
      </c>
      <c r="AI10">
        <f t="shared" si="5"/>
        <v>29.371258158034493</v>
      </c>
      <c r="AJ10">
        <f t="shared" si="5"/>
        <v>30.804787055533403</v>
      </c>
      <c r="AK10">
        <f t="shared" si="5"/>
        <v>32.278301573921077</v>
      </c>
      <c r="AL10">
        <f t="shared" si="5"/>
        <v>33.791801713197522</v>
      </c>
      <c r="AM10">
        <f t="shared" si="5"/>
        <v>35.345287473362724</v>
      </c>
      <c r="AN10">
        <f t="shared" si="5"/>
        <v>36.938758854416697</v>
      </c>
      <c r="AO10">
        <f t="shared" ref="AO10:BA24" si="6">$A$2+$B$2*AO$4+$C$2*$B10+$D$2*AO$4^2+$E$2*$B10^2+$F$2*AO$4*$B10</f>
        <v>38.572215856359435</v>
      </c>
      <c r="AP10">
        <f t="shared" si="6"/>
        <v>40.245658479190936</v>
      </c>
      <c r="AQ10">
        <f t="shared" si="6"/>
        <v>41.959086722911188</v>
      </c>
      <c r="AR10">
        <f t="shared" si="6"/>
        <v>43.712500587520218</v>
      </c>
      <c r="AS10">
        <f t="shared" si="6"/>
        <v>45.505900073018005</v>
      </c>
      <c r="AT10">
        <f t="shared" si="6"/>
        <v>47.339285179404555</v>
      </c>
      <c r="AU10">
        <f t="shared" si="6"/>
        <v>49.212655906679871</v>
      </c>
      <c r="AV10">
        <f t="shared" si="6"/>
        <v>51.126012254843957</v>
      </c>
      <c r="AW10">
        <f t="shared" si="6"/>
        <v>53.0793542238968</v>
      </c>
      <c r="AX10">
        <f t="shared" si="6"/>
        <v>55.072681813838415</v>
      </c>
      <c r="AY10">
        <f t="shared" si="6"/>
        <v>57.105995024668786</v>
      </c>
      <c r="AZ10">
        <f t="shared" si="6"/>
        <v>59.179293856387929</v>
      </c>
      <c r="BA10">
        <f t="shared" si="6"/>
        <v>61.292578308995836</v>
      </c>
    </row>
    <row r="11" spans="1:53" x14ac:dyDescent="0.45">
      <c r="B11">
        <f t="shared" si="3"/>
        <v>1.2</v>
      </c>
      <c r="C11">
        <f t="shared" si="2"/>
        <v>4.9170956226519769</v>
      </c>
      <c r="D11">
        <f t="shared" si="2"/>
        <v>5.089159942642727</v>
      </c>
      <c r="E11">
        <f t="shared" si="2"/>
        <v>5.3012098835222421</v>
      </c>
      <c r="F11">
        <f t="shared" si="2"/>
        <v>5.5532454452905222</v>
      </c>
      <c r="G11">
        <f t="shared" si="2"/>
        <v>5.8452666279475674</v>
      </c>
      <c r="H11">
        <f t="shared" si="2"/>
        <v>6.1772734314933757</v>
      </c>
      <c r="I11">
        <f t="shared" si="2"/>
        <v>6.5492658559279509</v>
      </c>
      <c r="J11">
        <f t="shared" si="2"/>
        <v>6.9612439012512901</v>
      </c>
      <c r="K11">
        <f t="shared" si="2"/>
        <v>7.4132075674633953</v>
      </c>
      <c r="L11">
        <f t="shared" si="2"/>
        <v>7.9051568545642654</v>
      </c>
      <c r="M11">
        <f t="shared" si="2"/>
        <v>8.4370917625538997</v>
      </c>
      <c r="N11">
        <f t="shared" si="2"/>
        <v>9.009012291432299</v>
      </c>
      <c r="O11">
        <f t="shared" si="2"/>
        <v>9.6209184411994642</v>
      </c>
      <c r="P11">
        <f t="shared" si="2"/>
        <v>10.272810211855395</v>
      </c>
      <c r="Q11">
        <f t="shared" si="2"/>
        <v>10.964687603400089</v>
      </c>
      <c r="R11">
        <f t="shared" si="2"/>
        <v>11.696550615833551</v>
      </c>
      <c r="S11">
        <f t="shared" si="4"/>
        <v>12.468399249155775</v>
      </c>
      <c r="T11">
        <f t="shared" si="4"/>
        <v>13.280233503366766</v>
      </c>
      <c r="U11">
        <f t="shared" si="4"/>
        <v>14.132053378466521</v>
      </c>
      <c r="V11">
        <f t="shared" si="4"/>
        <v>15.023858874455042</v>
      </c>
      <c r="W11">
        <f t="shared" si="4"/>
        <v>15.955649991332326</v>
      </c>
      <c r="X11">
        <f t="shared" si="4"/>
        <v>16.927426729098375</v>
      </c>
      <c r="Y11">
        <f t="shared" si="5"/>
        <v>17.939189087753192</v>
      </c>
      <c r="Z11">
        <f t="shared" si="5"/>
        <v>18.990937067296773</v>
      </c>
      <c r="AA11">
        <f t="shared" si="5"/>
        <v>20.082670667729118</v>
      </c>
      <c r="AB11">
        <f t="shared" si="5"/>
        <v>21.214389889050224</v>
      </c>
      <c r="AC11">
        <f t="shared" si="5"/>
        <v>22.386094731260101</v>
      </c>
      <c r="AD11">
        <f t="shared" si="5"/>
        <v>23.597785194358742</v>
      </c>
      <c r="AE11">
        <f t="shared" si="5"/>
        <v>24.849461278346148</v>
      </c>
      <c r="AF11">
        <f t="shared" si="5"/>
        <v>26.141122983222317</v>
      </c>
      <c r="AG11">
        <f t="shared" si="5"/>
        <v>27.472770308987251</v>
      </c>
      <c r="AH11">
        <f t="shared" si="5"/>
        <v>28.844403255640955</v>
      </c>
      <c r="AI11">
        <f t="shared" si="5"/>
        <v>30.256021823183417</v>
      </c>
      <c r="AJ11">
        <f t="shared" si="5"/>
        <v>31.70762601161465</v>
      </c>
      <c r="AK11">
        <f t="shared" si="5"/>
        <v>33.199215820934647</v>
      </c>
      <c r="AL11">
        <f t="shared" si="5"/>
        <v>34.730791251143408</v>
      </c>
      <c r="AM11">
        <f t="shared" si="5"/>
        <v>36.302352302240934</v>
      </c>
      <c r="AN11">
        <f t="shared" si="5"/>
        <v>37.91389897422723</v>
      </c>
      <c r="AO11">
        <f t="shared" si="6"/>
        <v>39.565431267102284</v>
      </c>
      <c r="AP11">
        <f t="shared" si="6"/>
        <v>41.256949180866101</v>
      </c>
      <c r="AQ11">
        <f t="shared" si="6"/>
        <v>42.988452715518683</v>
      </c>
      <c r="AR11">
        <f t="shared" si="6"/>
        <v>44.759941871060029</v>
      </c>
      <c r="AS11">
        <f t="shared" si="6"/>
        <v>46.571416647490125</v>
      </c>
      <c r="AT11">
        <f t="shared" si="6"/>
        <v>48.422877044809006</v>
      </c>
      <c r="AU11">
        <f t="shared" si="6"/>
        <v>50.314323063016644</v>
      </c>
      <c r="AV11">
        <f t="shared" si="6"/>
        <v>52.24575470211304</v>
      </c>
      <c r="AW11">
        <f t="shared" si="6"/>
        <v>54.217171962098206</v>
      </c>
      <c r="AX11">
        <f t="shared" si="6"/>
        <v>56.228574842972144</v>
      </c>
      <c r="AY11">
        <f t="shared" si="6"/>
        <v>58.279963344734831</v>
      </c>
      <c r="AZ11">
        <f t="shared" si="6"/>
        <v>60.371337467386297</v>
      </c>
      <c r="BA11">
        <f t="shared" si="6"/>
        <v>62.502697210926527</v>
      </c>
    </row>
    <row r="12" spans="1:53" x14ac:dyDescent="0.45">
      <c r="B12">
        <f t="shared" si="3"/>
        <v>1.4</v>
      </c>
      <c r="C12">
        <f t="shared" si="2"/>
        <v>5.2589116084997656</v>
      </c>
      <c r="D12">
        <f t="shared" si="2"/>
        <v>5.4490512194228344</v>
      </c>
      <c r="E12">
        <f t="shared" si="2"/>
        <v>5.679176451234671</v>
      </c>
      <c r="F12">
        <f t="shared" si="2"/>
        <v>5.9492873039352698</v>
      </c>
      <c r="G12">
        <f t="shared" si="2"/>
        <v>6.2593837775246364</v>
      </c>
      <c r="H12">
        <f t="shared" si="2"/>
        <v>6.6094658720027653</v>
      </c>
      <c r="I12">
        <f t="shared" si="2"/>
        <v>6.9995335873696591</v>
      </c>
      <c r="J12">
        <f t="shared" si="2"/>
        <v>7.4295869236253189</v>
      </c>
      <c r="K12">
        <f t="shared" si="2"/>
        <v>7.8996258807697437</v>
      </c>
      <c r="L12">
        <f t="shared" si="2"/>
        <v>8.4096504588029326</v>
      </c>
      <c r="M12">
        <f t="shared" si="2"/>
        <v>8.9596606577248874</v>
      </c>
      <c r="N12">
        <f t="shared" si="2"/>
        <v>9.5496564775356081</v>
      </c>
      <c r="O12">
        <f t="shared" si="2"/>
        <v>10.179637918235093</v>
      </c>
      <c r="P12">
        <f t="shared" si="2"/>
        <v>10.849604979823345</v>
      </c>
      <c r="Q12">
        <f t="shared" si="2"/>
        <v>11.55955766230036</v>
      </c>
      <c r="R12">
        <f t="shared" si="2"/>
        <v>12.309495965666139</v>
      </c>
      <c r="S12">
        <f t="shared" si="4"/>
        <v>13.099419889920684</v>
      </c>
      <c r="T12">
        <f t="shared" si="4"/>
        <v>13.929329435063996</v>
      </c>
      <c r="U12">
        <f t="shared" si="4"/>
        <v>14.799224601096071</v>
      </c>
      <c r="V12">
        <f t="shared" si="4"/>
        <v>15.709105388016912</v>
      </c>
      <c r="W12">
        <f t="shared" si="4"/>
        <v>16.658971795826513</v>
      </c>
      <c r="X12">
        <f t="shared" si="4"/>
        <v>17.648823824524886</v>
      </c>
      <c r="Y12">
        <f t="shared" si="5"/>
        <v>18.678661474112022</v>
      </c>
      <c r="Z12">
        <f t="shared" si="5"/>
        <v>19.74848474458792</v>
      </c>
      <c r="AA12">
        <f t="shared" si="5"/>
        <v>20.858293635952588</v>
      </c>
      <c r="AB12">
        <f t="shared" si="5"/>
        <v>22.008088148206017</v>
      </c>
      <c r="AC12">
        <f t="shared" si="5"/>
        <v>23.197868281348214</v>
      </c>
      <c r="AD12">
        <f t="shared" si="5"/>
        <v>24.427634035379175</v>
      </c>
      <c r="AE12">
        <f t="shared" si="5"/>
        <v>25.697385410298899</v>
      </c>
      <c r="AF12">
        <f t="shared" si="5"/>
        <v>27.007122406107392</v>
      </c>
      <c r="AG12">
        <f t="shared" si="5"/>
        <v>28.356845022804645</v>
      </c>
      <c r="AH12">
        <f t="shared" si="5"/>
        <v>29.746553260390662</v>
      </c>
      <c r="AI12">
        <f t="shared" si="5"/>
        <v>31.176247118865454</v>
      </c>
      <c r="AJ12">
        <f t="shared" si="5"/>
        <v>32.645926598229003</v>
      </c>
      <c r="AK12">
        <f t="shared" si="5"/>
        <v>34.155591698481324</v>
      </c>
      <c r="AL12">
        <f t="shared" si="5"/>
        <v>35.705242419622401</v>
      </c>
      <c r="AM12">
        <f t="shared" si="5"/>
        <v>37.294878761652242</v>
      </c>
      <c r="AN12">
        <f t="shared" si="5"/>
        <v>38.924500724570848</v>
      </c>
      <c r="AO12">
        <f t="shared" si="6"/>
        <v>40.594108308378232</v>
      </c>
      <c r="AP12">
        <f t="shared" si="6"/>
        <v>42.303701513074373</v>
      </c>
      <c r="AQ12">
        <f t="shared" si="6"/>
        <v>44.05328033865927</v>
      </c>
      <c r="AR12">
        <f t="shared" si="6"/>
        <v>45.842844785132939</v>
      </c>
      <c r="AS12">
        <f t="shared" si="6"/>
        <v>47.672394852495358</v>
      </c>
      <c r="AT12">
        <f t="shared" si="6"/>
        <v>49.541930540746556</v>
      </c>
      <c r="AU12">
        <f t="shared" si="6"/>
        <v>51.45145184988651</v>
      </c>
      <c r="AV12">
        <f t="shared" si="6"/>
        <v>53.400958779915229</v>
      </c>
      <c r="AW12">
        <f t="shared" si="6"/>
        <v>55.390451330832718</v>
      </c>
      <c r="AX12">
        <f t="shared" si="6"/>
        <v>57.419929502638972</v>
      </c>
      <c r="AY12">
        <f t="shared" si="6"/>
        <v>59.489393295333983</v>
      </c>
      <c r="AZ12">
        <f t="shared" si="6"/>
        <v>61.598842708917772</v>
      </c>
      <c r="BA12">
        <f t="shared" si="6"/>
        <v>63.748277743390311</v>
      </c>
    </row>
    <row r="13" spans="1:53" x14ac:dyDescent="0.45">
      <c r="B13">
        <f t="shared" si="3"/>
        <v>1.5999999999999999</v>
      </c>
      <c r="C13">
        <f t="shared" si="2"/>
        <v>5.6361892248806544</v>
      </c>
      <c r="D13">
        <f t="shared" si="2"/>
        <v>5.8444041267360447</v>
      </c>
      <c r="E13">
        <f t="shared" si="2"/>
        <v>6.0926046494801991</v>
      </c>
      <c r="F13">
        <f t="shared" si="2"/>
        <v>6.3807907931131194</v>
      </c>
      <c r="G13">
        <f t="shared" si="2"/>
        <v>6.7089625576348046</v>
      </c>
      <c r="H13">
        <f t="shared" si="2"/>
        <v>7.0771199430452532</v>
      </c>
      <c r="I13">
        <f t="shared" si="2"/>
        <v>7.4852629493444693</v>
      </c>
      <c r="J13">
        <f t="shared" si="2"/>
        <v>7.9333915765324479</v>
      </c>
      <c r="K13">
        <f t="shared" si="2"/>
        <v>8.4215058246091932</v>
      </c>
      <c r="L13">
        <f t="shared" si="2"/>
        <v>8.9496056935747017</v>
      </c>
      <c r="M13">
        <f t="shared" si="2"/>
        <v>9.5176911834289761</v>
      </c>
      <c r="N13">
        <f t="shared" si="2"/>
        <v>10.125762294172016</v>
      </c>
      <c r="O13">
        <f t="shared" si="2"/>
        <v>10.773819025803823</v>
      </c>
      <c r="P13">
        <f t="shared" si="2"/>
        <v>11.461861378324393</v>
      </c>
      <c r="Q13">
        <f t="shared" si="2"/>
        <v>12.189889351733727</v>
      </c>
      <c r="R13">
        <f t="shared" si="2"/>
        <v>12.95790294603183</v>
      </c>
      <c r="S13">
        <f t="shared" si="4"/>
        <v>13.765902161218694</v>
      </c>
      <c r="T13">
        <f t="shared" si="4"/>
        <v>14.613886997294324</v>
      </c>
      <c r="U13">
        <f t="shared" si="4"/>
        <v>15.501857454258719</v>
      </c>
      <c r="V13">
        <f t="shared" si="4"/>
        <v>16.429813532111879</v>
      </c>
      <c r="W13">
        <f t="shared" si="4"/>
        <v>17.397755230853804</v>
      </c>
      <c r="X13">
        <f t="shared" si="4"/>
        <v>18.405682550484492</v>
      </c>
      <c r="Y13">
        <f t="shared" si="5"/>
        <v>19.453595491003949</v>
      </c>
      <c r="Z13">
        <f t="shared" si="5"/>
        <v>20.541494052412173</v>
      </c>
      <c r="AA13">
        <f t="shared" si="5"/>
        <v>21.669378234709157</v>
      </c>
      <c r="AB13">
        <f t="shared" si="5"/>
        <v>22.837248037894906</v>
      </c>
      <c r="AC13">
        <f t="shared" si="5"/>
        <v>24.045103461969422</v>
      </c>
      <c r="AD13">
        <f t="shared" si="5"/>
        <v>25.292944506932702</v>
      </c>
      <c r="AE13">
        <f t="shared" si="5"/>
        <v>26.580771172784747</v>
      </c>
      <c r="AF13">
        <f t="shared" si="5"/>
        <v>27.908583459525559</v>
      </c>
      <c r="AG13">
        <f t="shared" si="5"/>
        <v>29.276381367155135</v>
      </c>
      <c r="AH13">
        <f t="shared" si="5"/>
        <v>30.684164895673476</v>
      </c>
      <c r="AI13">
        <f t="shared" si="5"/>
        <v>32.131934045080584</v>
      </c>
      <c r="AJ13">
        <f t="shared" si="5"/>
        <v>33.619688815376456</v>
      </c>
      <c r="AK13">
        <f t="shared" si="5"/>
        <v>35.147429206561092</v>
      </c>
      <c r="AL13">
        <f t="shared" si="5"/>
        <v>36.715155218634493</v>
      </c>
      <c r="AM13">
        <f t="shared" si="5"/>
        <v>38.322866851596658</v>
      </c>
      <c r="AN13">
        <f t="shared" si="5"/>
        <v>39.970564105447586</v>
      </c>
      <c r="AO13">
        <f t="shared" si="6"/>
        <v>41.658246980187286</v>
      </c>
      <c r="AP13">
        <f t="shared" si="6"/>
        <v>43.385915475815743</v>
      </c>
      <c r="AQ13">
        <f t="shared" si="6"/>
        <v>45.153569592332971</v>
      </c>
      <c r="AR13">
        <f t="shared" si="6"/>
        <v>46.961209329738949</v>
      </c>
      <c r="AS13">
        <f t="shared" si="6"/>
        <v>48.808834688033691</v>
      </c>
      <c r="AT13">
        <f t="shared" si="6"/>
        <v>50.696445667217212</v>
      </c>
      <c r="AU13">
        <f t="shared" si="6"/>
        <v>52.624042267289482</v>
      </c>
      <c r="AV13">
        <f t="shared" si="6"/>
        <v>54.591624488250531</v>
      </c>
      <c r="AW13">
        <f t="shared" si="6"/>
        <v>56.599192330100337</v>
      </c>
      <c r="AX13">
        <f t="shared" si="6"/>
        <v>58.6467457928389</v>
      </c>
      <c r="AY13">
        <f t="shared" si="6"/>
        <v>60.734284876466241</v>
      </c>
      <c r="AZ13">
        <f t="shared" si="6"/>
        <v>62.861809580982346</v>
      </c>
      <c r="BA13">
        <f t="shared" si="6"/>
        <v>65.029319906387201</v>
      </c>
    </row>
    <row r="14" spans="1:53" x14ac:dyDescent="0.45">
      <c r="B14">
        <f t="shared" si="3"/>
        <v>1.7999999999999998</v>
      </c>
      <c r="C14">
        <f t="shared" si="2"/>
        <v>6.0489284717946425</v>
      </c>
      <c r="D14">
        <f t="shared" si="2"/>
        <v>6.2752186645823524</v>
      </c>
      <c r="E14">
        <f t="shared" si="2"/>
        <v>6.5414944782588273</v>
      </c>
      <c r="F14">
        <f t="shared" si="2"/>
        <v>6.8477559128240673</v>
      </c>
      <c r="G14">
        <f t="shared" si="2"/>
        <v>7.1940029682780731</v>
      </c>
      <c r="H14">
        <f t="shared" si="2"/>
        <v>7.5802356446208421</v>
      </c>
      <c r="I14">
        <f t="shared" si="2"/>
        <v>8.0064539418523779</v>
      </c>
      <c r="J14">
        <f t="shared" si="2"/>
        <v>8.4726578599726778</v>
      </c>
      <c r="K14">
        <f t="shared" si="2"/>
        <v>8.9788473989817419</v>
      </c>
      <c r="L14">
        <f t="shared" si="2"/>
        <v>9.5250225588795701</v>
      </c>
      <c r="M14">
        <f t="shared" si="2"/>
        <v>10.111183339666166</v>
      </c>
      <c r="N14">
        <f t="shared" si="2"/>
        <v>10.737329741341526</v>
      </c>
      <c r="O14">
        <f t="shared" si="2"/>
        <v>11.403461763905652</v>
      </c>
      <c r="P14">
        <f t="shared" si="2"/>
        <v>12.109579407358542</v>
      </c>
      <c r="Q14">
        <f t="shared" si="2"/>
        <v>12.855682671700196</v>
      </c>
      <c r="R14">
        <f t="shared" si="2"/>
        <v>13.641771556930617</v>
      </c>
      <c r="S14">
        <f t="shared" si="4"/>
        <v>14.467846063049802</v>
      </c>
      <c r="T14">
        <f t="shared" si="4"/>
        <v>15.333906190057753</v>
      </c>
      <c r="U14">
        <f t="shared" si="4"/>
        <v>16.239951937954469</v>
      </c>
      <c r="V14">
        <f t="shared" si="4"/>
        <v>17.185983306739949</v>
      </c>
      <c r="W14">
        <f t="shared" si="4"/>
        <v>18.172000296414193</v>
      </c>
      <c r="X14">
        <f t="shared" si="4"/>
        <v>19.198002906977202</v>
      </c>
      <c r="Y14">
        <f t="shared" si="5"/>
        <v>20.263991138428981</v>
      </c>
      <c r="Z14">
        <f t="shared" si="5"/>
        <v>21.369964990769521</v>
      </c>
      <c r="AA14">
        <f t="shared" si="5"/>
        <v>22.515924463998825</v>
      </c>
      <c r="AB14">
        <f t="shared" si="5"/>
        <v>23.701869558116897</v>
      </c>
      <c r="AC14">
        <f t="shared" si="5"/>
        <v>24.927800273123736</v>
      </c>
      <c r="AD14">
        <f t="shared" si="5"/>
        <v>26.193716609019333</v>
      </c>
      <c r="AE14">
        <f t="shared" si="5"/>
        <v>27.499618565803701</v>
      </c>
      <c r="AF14">
        <f t="shared" si="5"/>
        <v>28.845506143476833</v>
      </c>
      <c r="AG14">
        <f t="shared" si="5"/>
        <v>30.231379342038728</v>
      </c>
      <c r="AH14">
        <f t="shared" si="5"/>
        <v>31.657238161489389</v>
      </c>
      <c r="AI14">
        <f t="shared" si="5"/>
        <v>33.123082601828813</v>
      </c>
      <c r="AJ14">
        <f t="shared" si="5"/>
        <v>34.628912663057008</v>
      </c>
      <c r="AK14">
        <f t="shared" si="5"/>
        <v>36.174728345173961</v>
      </c>
      <c r="AL14">
        <f t="shared" si="5"/>
        <v>37.760529648179684</v>
      </c>
      <c r="AM14">
        <f t="shared" si="5"/>
        <v>39.386316572074165</v>
      </c>
      <c r="AN14">
        <f t="shared" si="5"/>
        <v>41.052089116857417</v>
      </c>
      <c r="AO14">
        <f t="shared" si="6"/>
        <v>42.757847282529433</v>
      </c>
      <c r="AP14">
        <f t="shared" si="6"/>
        <v>44.503591069090213</v>
      </c>
      <c r="AQ14">
        <f t="shared" si="6"/>
        <v>46.28932047653975</v>
      </c>
      <c r="AR14">
        <f t="shared" si="6"/>
        <v>48.115035504878058</v>
      </c>
      <c r="AS14">
        <f t="shared" si="6"/>
        <v>49.980736154105124</v>
      </c>
      <c r="AT14">
        <f t="shared" si="6"/>
        <v>51.886422424220953</v>
      </c>
      <c r="AU14">
        <f t="shared" si="6"/>
        <v>53.832094315225554</v>
      </c>
      <c r="AV14">
        <f t="shared" si="6"/>
        <v>55.817751827118919</v>
      </c>
      <c r="AW14">
        <f t="shared" si="6"/>
        <v>57.84339495990104</v>
      </c>
      <c r="AX14">
        <f t="shared" si="6"/>
        <v>59.909023713571933</v>
      </c>
      <c r="AY14">
        <f t="shared" si="6"/>
        <v>62.014638088131591</v>
      </c>
      <c r="AZ14">
        <f t="shared" si="6"/>
        <v>64.160238083580012</v>
      </c>
      <c r="BA14">
        <f t="shared" si="6"/>
        <v>66.34582369991719</v>
      </c>
    </row>
    <row r="15" spans="1:53" x14ac:dyDescent="0.45">
      <c r="B15">
        <f t="shared" si="3"/>
        <v>1.9999999999999998</v>
      </c>
      <c r="C15">
        <f t="shared" si="2"/>
        <v>6.4971293492417317</v>
      </c>
      <c r="D15">
        <f t="shared" si="2"/>
        <v>6.7414948329617603</v>
      </c>
      <c r="E15">
        <f t="shared" si="2"/>
        <v>7.0258459375705566</v>
      </c>
      <c r="F15">
        <f t="shared" si="2"/>
        <v>7.3501826630681162</v>
      </c>
      <c r="G15">
        <f t="shared" si="2"/>
        <v>7.7145050094544425</v>
      </c>
      <c r="H15">
        <f t="shared" si="2"/>
        <v>8.1188129767295312</v>
      </c>
      <c r="I15">
        <f t="shared" si="2"/>
        <v>8.5631065648933848</v>
      </c>
      <c r="J15">
        <f t="shared" si="2"/>
        <v>9.0473857739460062</v>
      </c>
      <c r="K15">
        <f t="shared" si="2"/>
        <v>9.5716506038873916</v>
      </c>
      <c r="L15">
        <f t="shared" si="2"/>
        <v>10.135901054717541</v>
      </c>
      <c r="M15">
        <f t="shared" si="2"/>
        <v>10.740137126436457</v>
      </c>
      <c r="N15">
        <f t="shared" si="2"/>
        <v>11.384358819044136</v>
      </c>
      <c r="O15">
        <f t="shared" si="2"/>
        <v>12.068566132540582</v>
      </c>
      <c r="P15">
        <f t="shared" si="2"/>
        <v>12.792759066925791</v>
      </c>
      <c r="Q15">
        <f t="shared" si="2"/>
        <v>13.556937622199769</v>
      </c>
      <c r="R15">
        <f t="shared" si="2"/>
        <v>14.361101798362508</v>
      </c>
      <c r="S15">
        <f t="shared" si="4"/>
        <v>15.205251595414012</v>
      </c>
      <c r="T15">
        <f t="shared" si="4"/>
        <v>16.089387013354283</v>
      </c>
      <c r="U15">
        <f t="shared" si="4"/>
        <v>17.013508052183319</v>
      </c>
      <c r="V15">
        <f t="shared" si="4"/>
        <v>17.977614711901118</v>
      </c>
      <c r="W15">
        <f t="shared" si="4"/>
        <v>18.981706992507682</v>
      </c>
      <c r="X15">
        <f t="shared" si="4"/>
        <v>20.02578489400301</v>
      </c>
      <c r="Y15">
        <f t="shared" si="5"/>
        <v>21.109848416387109</v>
      </c>
      <c r="Z15">
        <f t="shared" si="5"/>
        <v>22.233897559659972</v>
      </c>
      <c r="AA15">
        <f t="shared" si="5"/>
        <v>23.397932323821596</v>
      </c>
      <c r="AB15">
        <f t="shared" si="5"/>
        <v>24.601952708871984</v>
      </c>
      <c r="AC15">
        <f t="shared" si="5"/>
        <v>25.845958714811147</v>
      </c>
      <c r="AD15">
        <f t="shared" si="5"/>
        <v>27.129950341639063</v>
      </c>
      <c r="AE15">
        <f t="shared" si="5"/>
        <v>28.45392758935575</v>
      </c>
      <c r="AF15">
        <f t="shared" si="5"/>
        <v>29.817890457961202</v>
      </c>
      <c r="AG15">
        <f t="shared" si="5"/>
        <v>31.221838947455417</v>
      </c>
      <c r="AH15">
        <f t="shared" si="5"/>
        <v>32.665773057838393</v>
      </c>
      <c r="AI15">
        <f t="shared" si="5"/>
        <v>34.149692789110148</v>
      </c>
      <c r="AJ15">
        <f t="shared" si="5"/>
        <v>35.673598141270659</v>
      </c>
      <c r="AK15">
        <f t="shared" si="5"/>
        <v>37.237489114319935</v>
      </c>
      <c r="AL15">
        <f t="shared" si="5"/>
        <v>38.841365708257968</v>
      </c>
      <c r="AM15">
        <f t="shared" si="5"/>
        <v>40.485227923084778</v>
      </c>
      <c r="AN15">
        <f t="shared" si="5"/>
        <v>42.169075758800354</v>
      </c>
      <c r="AO15">
        <f t="shared" si="6"/>
        <v>43.892909215404686</v>
      </c>
      <c r="AP15">
        <f t="shared" si="6"/>
        <v>45.656728292897789</v>
      </c>
      <c r="AQ15">
        <f t="shared" si="6"/>
        <v>47.460532991279642</v>
      </c>
      <c r="AR15">
        <f t="shared" si="6"/>
        <v>49.304323310550274</v>
      </c>
      <c r="AS15">
        <f t="shared" si="6"/>
        <v>51.188099250709655</v>
      </c>
      <c r="AT15">
        <f t="shared" si="6"/>
        <v>53.111860811757808</v>
      </c>
      <c r="AU15">
        <f t="shared" si="6"/>
        <v>55.075607993694724</v>
      </c>
      <c r="AV15">
        <f t="shared" si="6"/>
        <v>57.079340796520412</v>
      </c>
      <c r="AW15">
        <f t="shared" si="6"/>
        <v>59.12305922023485</v>
      </c>
      <c r="AX15">
        <f t="shared" si="6"/>
        <v>61.206763264838067</v>
      </c>
      <c r="AY15">
        <f t="shared" si="6"/>
        <v>63.33045293033004</v>
      </c>
      <c r="AZ15">
        <f t="shared" si="6"/>
        <v>65.494128216710777</v>
      </c>
      <c r="BA15">
        <f t="shared" si="6"/>
        <v>67.697789123980286</v>
      </c>
    </row>
    <row r="16" spans="1:53" x14ac:dyDescent="0.45">
      <c r="B16">
        <f t="shared" si="3"/>
        <v>2.1999999999999997</v>
      </c>
      <c r="C16">
        <f t="shared" si="2"/>
        <v>6.9807918572219201</v>
      </c>
      <c r="D16">
        <f t="shared" si="2"/>
        <v>7.2432326318742701</v>
      </c>
      <c r="E16">
        <f t="shared" si="2"/>
        <v>7.5456590274153852</v>
      </c>
      <c r="F16">
        <f t="shared" si="2"/>
        <v>7.8880710438452653</v>
      </c>
      <c r="G16">
        <f t="shared" si="2"/>
        <v>8.2704686811639121</v>
      </c>
      <c r="H16">
        <f t="shared" si="2"/>
        <v>8.6928519393713195</v>
      </c>
      <c r="I16">
        <f t="shared" si="2"/>
        <v>9.1552208184674964</v>
      </c>
      <c r="J16">
        <f t="shared" si="2"/>
        <v>9.6575753184524338</v>
      </c>
      <c r="K16">
        <f t="shared" si="2"/>
        <v>10.199915439326141</v>
      </c>
      <c r="L16">
        <f t="shared" si="2"/>
        <v>10.782241181088612</v>
      </c>
      <c r="M16">
        <f t="shared" si="2"/>
        <v>11.404552543739845</v>
      </c>
      <c r="N16">
        <f t="shared" si="2"/>
        <v>12.066849527279846</v>
      </c>
      <c r="O16">
        <f t="shared" si="2"/>
        <v>12.769132131708609</v>
      </c>
      <c r="P16">
        <f t="shared" si="2"/>
        <v>13.51140035702614</v>
      </c>
      <c r="Q16">
        <f t="shared" si="2"/>
        <v>14.293654203232435</v>
      </c>
      <c r="R16">
        <f t="shared" si="2"/>
        <v>15.115893670327498</v>
      </c>
      <c r="S16">
        <f t="shared" si="4"/>
        <v>15.978118758311322</v>
      </c>
      <c r="T16">
        <f t="shared" si="4"/>
        <v>16.880329467183913</v>
      </c>
      <c r="U16">
        <f t="shared" si="4"/>
        <v>17.822525796945271</v>
      </c>
      <c r="V16">
        <f t="shared" si="4"/>
        <v>18.804707747595391</v>
      </c>
      <c r="W16">
        <f t="shared" si="4"/>
        <v>19.826875319134274</v>
      </c>
      <c r="X16">
        <f t="shared" si="4"/>
        <v>20.889028511561921</v>
      </c>
      <c r="Y16">
        <f t="shared" si="5"/>
        <v>21.991167324878337</v>
      </c>
      <c r="Z16">
        <f t="shared" si="5"/>
        <v>23.133291759083523</v>
      </c>
      <c r="AA16">
        <f t="shared" si="5"/>
        <v>24.315401814177466</v>
      </c>
      <c r="AB16">
        <f t="shared" si="5"/>
        <v>25.537497490160177</v>
      </c>
      <c r="AC16">
        <f t="shared" si="5"/>
        <v>26.799578787031653</v>
      </c>
      <c r="AD16">
        <f t="shared" si="5"/>
        <v>28.101645704791892</v>
      </c>
      <c r="AE16">
        <f t="shared" si="5"/>
        <v>29.443698243440899</v>
      </c>
      <c r="AF16">
        <f t="shared" si="5"/>
        <v>30.82573640297867</v>
      </c>
      <c r="AG16">
        <f t="shared" si="5"/>
        <v>32.247760183405205</v>
      </c>
      <c r="AH16">
        <f t="shared" si="5"/>
        <v>33.709769584720505</v>
      </c>
      <c r="AI16">
        <f t="shared" si="5"/>
        <v>35.211764606924575</v>
      </c>
      <c r="AJ16">
        <f t="shared" si="5"/>
        <v>36.753745250017403</v>
      </c>
      <c r="AK16">
        <f t="shared" si="5"/>
        <v>38.335711513999001</v>
      </c>
      <c r="AL16">
        <f t="shared" si="5"/>
        <v>39.957663398869364</v>
      </c>
      <c r="AM16">
        <f t="shared" si="5"/>
        <v>41.619600904628491</v>
      </c>
      <c r="AN16">
        <f t="shared" si="5"/>
        <v>43.321524031276383</v>
      </c>
      <c r="AO16">
        <f t="shared" si="6"/>
        <v>45.063432778813045</v>
      </c>
      <c r="AP16">
        <f t="shared" si="6"/>
        <v>46.845327147238464</v>
      </c>
      <c r="AQ16">
        <f t="shared" si="6"/>
        <v>48.667207136552641</v>
      </c>
      <c r="AR16">
        <f t="shared" si="6"/>
        <v>50.529072746755588</v>
      </c>
      <c r="AS16">
        <f t="shared" si="6"/>
        <v>52.430923977847286</v>
      </c>
      <c r="AT16">
        <f t="shared" si="6"/>
        <v>54.372760829827762</v>
      </c>
      <c r="AU16">
        <f t="shared" si="6"/>
        <v>56.354583302697002</v>
      </c>
      <c r="AV16">
        <f t="shared" si="6"/>
        <v>58.376391396454999</v>
      </c>
      <c r="AW16">
        <f t="shared" si="6"/>
        <v>60.438185111101767</v>
      </c>
      <c r="AX16">
        <f t="shared" si="6"/>
        <v>62.539964446637299</v>
      </c>
      <c r="AY16">
        <f t="shared" si="6"/>
        <v>64.681729403061595</v>
      </c>
      <c r="AZ16">
        <f t="shared" si="6"/>
        <v>66.863479980374663</v>
      </c>
      <c r="BA16">
        <f t="shared" si="6"/>
        <v>69.085216178576488</v>
      </c>
    </row>
    <row r="17" spans="2:53" x14ac:dyDescent="0.45">
      <c r="B17">
        <f t="shared" si="3"/>
        <v>2.4</v>
      </c>
      <c r="C17">
        <f t="shared" si="2"/>
        <v>7.4999159957352095</v>
      </c>
      <c r="D17">
        <f t="shared" si="2"/>
        <v>7.7804320613198792</v>
      </c>
      <c r="E17">
        <f t="shared" si="2"/>
        <v>8.1009337477933148</v>
      </c>
      <c r="F17">
        <f t="shared" si="2"/>
        <v>8.4614210551555153</v>
      </c>
      <c r="G17">
        <f t="shared" si="2"/>
        <v>8.8618939834064818</v>
      </c>
      <c r="H17">
        <f t="shared" si="2"/>
        <v>9.3023525325462089</v>
      </c>
      <c r="I17">
        <f t="shared" si="2"/>
        <v>9.7827967025747053</v>
      </c>
      <c r="J17">
        <f t="shared" si="2"/>
        <v>10.303226493491966</v>
      </c>
      <c r="K17">
        <f t="shared" si="2"/>
        <v>10.863641905297991</v>
      </c>
      <c r="L17">
        <f t="shared" si="2"/>
        <v>11.46404293799278</v>
      </c>
      <c r="M17">
        <f t="shared" si="2"/>
        <v>12.104429591576334</v>
      </c>
      <c r="N17">
        <f t="shared" si="2"/>
        <v>12.784801866048657</v>
      </c>
      <c r="O17">
        <f t="shared" si="2"/>
        <v>13.50515976140974</v>
      </c>
      <c r="P17">
        <f t="shared" si="2"/>
        <v>14.265503277659594</v>
      </c>
      <c r="Q17">
        <f t="shared" si="2"/>
        <v>15.065832414798205</v>
      </c>
      <c r="R17">
        <f t="shared" si="2"/>
        <v>15.906147172825587</v>
      </c>
      <c r="S17">
        <f t="shared" si="4"/>
        <v>16.78644755174173</v>
      </c>
      <c r="T17">
        <f t="shared" si="4"/>
        <v>17.706733551546645</v>
      </c>
      <c r="U17">
        <f t="shared" si="4"/>
        <v>18.667005172240319</v>
      </c>
      <c r="V17">
        <f t="shared" si="4"/>
        <v>19.667262413822762</v>
      </c>
      <c r="W17">
        <f t="shared" si="4"/>
        <v>20.707505276293965</v>
      </c>
      <c r="X17">
        <f t="shared" si="4"/>
        <v>21.787733759653932</v>
      </c>
      <c r="Y17">
        <f t="shared" si="5"/>
        <v>22.90794786390267</v>
      </c>
      <c r="Z17">
        <f t="shared" si="5"/>
        <v>24.068147589040173</v>
      </c>
      <c r="AA17">
        <f t="shared" si="5"/>
        <v>25.268332935066439</v>
      </c>
      <c r="AB17">
        <f t="shared" si="5"/>
        <v>26.50850390198147</v>
      </c>
      <c r="AC17">
        <f t="shared" si="5"/>
        <v>27.788660489785265</v>
      </c>
      <c r="AD17">
        <f t="shared" si="5"/>
        <v>29.108802698477824</v>
      </c>
      <c r="AE17">
        <f t="shared" si="5"/>
        <v>30.46893052805915</v>
      </c>
      <c r="AF17">
        <f t="shared" si="5"/>
        <v>31.869043978529241</v>
      </c>
      <c r="AG17">
        <f t="shared" si="5"/>
        <v>33.309143049888092</v>
      </c>
      <c r="AH17">
        <f t="shared" si="5"/>
        <v>34.789227742135715</v>
      </c>
      <c r="AI17">
        <f t="shared" si="5"/>
        <v>36.309298055272109</v>
      </c>
      <c r="AJ17">
        <f t="shared" si="5"/>
        <v>37.869353989297259</v>
      </c>
      <c r="AK17">
        <f t="shared" si="5"/>
        <v>39.469395544211174</v>
      </c>
      <c r="AL17">
        <f t="shared" si="5"/>
        <v>41.10942272001386</v>
      </c>
      <c r="AM17">
        <f t="shared" si="5"/>
        <v>42.789435516705311</v>
      </c>
      <c r="AN17">
        <f t="shared" si="5"/>
        <v>44.509433934285511</v>
      </c>
      <c r="AO17">
        <f t="shared" si="6"/>
        <v>46.269417972754496</v>
      </c>
      <c r="AP17">
        <f t="shared" si="6"/>
        <v>48.069387632112239</v>
      </c>
      <c r="AQ17">
        <f t="shared" si="6"/>
        <v>49.909342912358731</v>
      </c>
      <c r="AR17">
        <f t="shared" si="6"/>
        <v>51.789283813494002</v>
      </c>
      <c r="AS17">
        <f t="shared" si="6"/>
        <v>53.709210335518023</v>
      </c>
      <c r="AT17">
        <f t="shared" si="6"/>
        <v>55.669122478430815</v>
      </c>
      <c r="AU17">
        <f t="shared" si="6"/>
        <v>57.669020242232378</v>
      </c>
      <c r="AV17">
        <f t="shared" si="6"/>
        <v>59.708903626922691</v>
      </c>
      <c r="AW17">
        <f t="shared" si="6"/>
        <v>61.788772632501782</v>
      </c>
      <c r="AX17">
        <f t="shared" si="6"/>
        <v>63.908627258969631</v>
      </c>
      <c r="AY17">
        <f t="shared" si="6"/>
        <v>66.068467506326243</v>
      </c>
      <c r="AZ17">
        <f t="shared" si="6"/>
        <v>68.268293374571627</v>
      </c>
      <c r="BA17">
        <f t="shared" si="6"/>
        <v>70.508104863705768</v>
      </c>
    </row>
    <row r="18" spans="2:53" x14ac:dyDescent="0.45">
      <c r="B18">
        <f t="shared" si="3"/>
        <v>2.6</v>
      </c>
      <c r="C18">
        <f t="shared" si="2"/>
        <v>8.0545017647815982</v>
      </c>
      <c r="D18">
        <f t="shared" si="2"/>
        <v>8.3530931212985884</v>
      </c>
      <c r="E18">
        <f t="shared" si="2"/>
        <v>8.6916700987043445</v>
      </c>
      <c r="F18">
        <f t="shared" si="2"/>
        <v>9.0702326969988647</v>
      </c>
      <c r="G18">
        <f t="shared" si="2"/>
        <v>9.4887809161821508</v>
      </c>
      <c r="H18">
        <f t="shared" si="2"/>
        <v>9.947314756254201</v>
      </c>
      <c r="I18">
        <f t="shared" si="2"/>
        <v>10.445834217215015</v>
      </c>
      <c r="J18">
        <f t="shared" si="2"/>
        <v>10.984339299064596</v>
      </c>
      <c r="K18">
        <f t="shared" si="2"/>
        <v>11.562830001802942</v>
      </c>
      <c r="L18">
        <f t="shared" si="2"/>
        <v>12.18130632543005</v>
      </c>
      <c r="M18">
        <f t="shared" si="2"/>
        <v>12.839768269945925</v>
      </c>
      <c r="N18">
        <f t="shared" si="2"/>
        <v>13.538215835350565</v>
      </c>
      <c r="O18">
        <f t="shared" si="2"/>
        <v>14.276649021643969</v>
      </c>
      <c r="P18">
        <f t="shared" si="2"/>
        <v>15.055067828826143</v>
      </c>
      <c r="Q18">
        <f t="shared" si="2"/>
        <v>15.873472256897077</v>
      </c>
      <c r="R18">
        <f t="shared" si="2"/>
        <v>16.731862305856779</v>
      </c>
      <c r="S18">
        <f t="shared" si="4"/>
        <v>17.630237975705246</v>
      </c>
      <c r="T18">
        <f t="shared" si="4"/>
        <v>18.568599266442476</v>
      </c>
      <c r="U18">
        <f t="shared" si="4"/>
        <v>19.54694617806847</v>
      </c>
      <c r="V18">
        <f t="shared" si="4"/>
        <v>20.565278710583229</v>
      </c>
      <c r="W18">
        <f t="shared" si="4"/>
        <v>21.623596863986755</v>
      </c>
      <c r="X18">
        <f t="shared" si="4"/>
        <v>22.721900638279042</v>
      </c>
      <c r="Y18">
        <f t="shared" si="5"/>
        <v>23.8601900334601</v>
      </c>
      <c r="Z18">
        <f t="shared" si="5"/>
        <v>25.038465049529925</v>
      </c>
      <c r="AA18">
        <f t="shared" si="5"/>
        <v>26.256725686488508</v>
      </c>
      <c r="AB18">
        <f t="shared" si="5"/>
        <v>27.514971944335858</v>
      </c>
      <c r="AC18">
        <f t="shared" si="5"/>
        <v>28.813203823071973</v>
      </c>
      <c r="AD18">
        <f t="shared" si="5"/>
        <v>30.151421322696855</v>
      </c>
      <c r="AE18">
        <f t="shared" si="5"/>
        <v>31.529624443210501</v>
      </c>
      <c r="AF18">
        <f t="shared" si="5"/>
        <v>32.947813184612912</v>
      </c>
      <c r="AG18">
        <f t="shared" si="5"/>
        <v>34.405987546904086</v>
      </c>
      <c r="AH18">
        <f t="shared" si="5"/>
        <v>35.904147530084032</v>
      </c>
      <c r="AI18">
        <f t="shared" si="5"/>
        <v>37.442293134152735</v>
      </c>
      <c r="AJ18">
        <f t="shared" si="5"/>
        <v>39.020424359110208</v>
      </c>
      <c r="AK18">
        <f t="shared" si="5"/>
        <v>40.638541204956447</v>
      </c>
      <c r="AL18">
        <f t="shared" si="5"/>
        <v>42.296643671691456</v>
      </c>
      <c r="AM18">
        <f t="shared" si="5"/>
        <v>43.994731759315215</v>
      </c>
      <c r="AN18">
        <f t="shared" si="5"/>
        <v>45.732805467827745</v>
      </c>
      <c r="AO18">
        <f t="shared" si="6"/>
        <v>47.510864797229047</v>
      </c>
      <c r="AP18">
        <f t="shared" si="6"/>
        <v>49.328909747519106</v>
      </c>
      <c r="AQ18">
        <f t="shared" si="6"/>
        <v>51.186940318697928</v>
      </c>
      <c r="AR18">
        <f t="shared" si="6"/>
        <v>53.084956510765508</v>
      </c>
      <c r="AS18">
        <f t="shared" si="6"/>
        <v>55.022958323721852</v>
      </c>
      <c r="AT18">
        <f t="shared" si="6"/>
        <v>57.000945757566967</v>
      </c>
      <c r="AU18">
        <f t="shared" si="6"/>
        <v>59.018918812300839</v>
      </c>
      <c r="AV18">
        <f t="shared" si="6"/>
        <v>61.07687748792349</v>
      </c>
      <c r="AW18">
        <f t="shared" si="6"/>
        <v>63.174821784434897</v>
      </c>
      <c r="AX18">
        <f t="shared" si="6"/>
        <v>65.312751701835055</v>
      </c>
      <c r="AY18">
        <f t="shared" si="6"/>
        <v>67.490667240123997</v>
      </c>
      <c r="AZ18">
        <f t="shared" si="6"/>
        <v>69.708568399301711</v>
      </c>
      <c r="BA18">
        <f t="shared" si="6"/>
        <v>71.966455179368168</v>
      </c>
    </row>
    <row r="19" spans="2:53" x14ac:dyDescent="0.45">
      <c r="B19">
        <f t="shared" si="3"/>
        <v>2.8000000000000003</v>
      </c>
      <c r="C19">
        <f t="shared" si="2"/>
        <v>8.6445491643610879</v>
      </c>
      <c r="D19">
        <f t="shared" si="2"/>
        <v>8.9612158118103977</v>
      </c>
      <c r="E19">
        <f t="shared" si="2"/>
        <v>9.3178680801484752</v>
      </c>
      <c r="F19">
        <f t="shared" si="2"/>
        <v>9.7145059693753133</v>
      </c>
      <c r="G19">
        <f t="shared" si="2"/>
        <v>10.151129479490923</v>
      </c>
      <c r="H19">
        <f t="shared" si="2"/>
        <v>10.627738610495291</v>
      </c>
      <c r="I19">
        <f t="shared" si="2"/>
        <v>11.144333362388425</v>
      </c>
      <c r="J19">
        <f t="shared" si="2"/>
        <v>11.700913735170325</v>
      </c>
      <c r="K19">
        <f t="shared" si="2"/>
        <v>12.297479728840992</v>
      </c>
      <c r="L19">
        <f t="shared" si="2"/>
        <v>12.93403134340042</v>
      </c>
      <c r="M19">
        <f t="shared" si="2"/>
        <v>13.610568578848618</v>
      </c>
      <c r="N19">
        <f t="shared" si="2"/>
        <v>14.327091435185578</v>
      </c>
      <c r="O19">
        <f t="shared" si="2"/>
        <v>15.083599912411302</v>
      </c>
      <c r="P19">
        <f t="shared" si="2"/>
        <v>15.880094010525792</v>
      </c>
      <c r="Q19">
        <f t="shared" si="2"/>
        <v>16.716573729529049</v>
      </c>
      <c r="R19">
        <f t="shared" si="2"/>
        <v>17.593039069421067</v>
      </c>
      <c r="S19">
        <f t="shared" si="4"/>
        <v>18.509490030201853</v>
      </c>
      <c r="T19">
        <f t="shared" si="4"/>
        <v>19.465926611871406</v>
      </c>
      <c r="U19">
        <f t="shared" si="4"/>
        <v>20.462348814429724</v>
      </c>
      <c r="V19">
        <f t="shared" si="4"/>
        <v>21.498756637876802</v>
      </c>
      <c r="W19">
        <f t="shared" si="4"/>
        <v>22.575150082212648</v>
      </c>
      <c r="X19">
        <f t="shared" si="4"/>
        <v>23.691529147437258</v>
      </c>
      <c r="Y19">
        <f t="shared" si="5"/>
        <v>24.847893833550636</v>
      </c>
      <c r="Z19">
        <f t="shared" si="5"/>
        <v>26.044244140552774</v>
      </c>
      <c r="AA19">
        <f t="shared" si="5"/>
        <v>27.280580068443683</v>
      </c>
      <c r="AB19">
        <f t="shared" si="5"/>
        <v>28.556901617223353</v>
      </c>
      <c r="AC19">
        <f t="shared" si="5"/>
        <v>29.873208786891791</v>
      </c>
      <c r="AD19">
        <f t="shared" si="5"/>
        <v>31.229501577448993</v>
      </c>
      <c r="AE19">
        <f t="shared" si="5"/>
        <v>32.625779988894955</v>
      </c>
      <c r="AF19">
        <f t="shared" si="5"/>
        <v>34.062044021229688</v>
      </c>
      <c r="AG19">
        <f t="shared" si="5"/>
        <v>35.538293674453186</v>
      </c>
      <c r="AH19">
        <f t="shared" si="5"/>
        <v>37.054528948565448</v>
      </c>
      <c r="AI19">
        <f t="shared" si="5"/>
        <v>38.610749843566467</v>
      </c>
      <c r="AJ19">
        <f t="shared" si="5"/>
        <v>40.206956359456271</v>
      </c>
      <c r="AK19">
        <f t="shared" si="5"/>
        <v>41.843148496234818</v>
      </c>
      <c r="AL19">
        <f t="shared" si="5"/>
        <v>43.519326253902136</v>
      </c>
      <c r="AM19">
        <f t="shared" si="5"/>
        <v>45.235489632458226</v>
      </c>
      <c r="AN19">
        <f t="shared" si="5"/>
        <v>46.991638631903079</v>
      </c>
      <c r="AO19">
        <f t="shared" si="6"/>
        <v>48.787773252236697</v>
      </c>
      <c r="AP19">
        <f t="shared" si="6"/>
        <v>50.623893493459079</v>
      </c>
      <c r="AQ19">
        <f t="shared" si="6"/>
        <v>52.49999935557021</v>
      </c>
      <c r="AR19">
        <f t="shared" si="6"/>
        <v>54.416090838570121</v>
      </c>
      <c r="AS19">
        <f t="shared" si="6"/>
        <v>56.372167942458788</v>
      </c>
      <c r="AT19">
        <f t="shared" si="6"/>
        <v>58.368230667236219</v>
      </c>
      <c r="AU19">
        <f t="shared" si="6"/>
        <v>60.404279012902414</v>
      </c>
      <c r="AV19">
        <f t="shared" si="6"/>
        <v>62.480312979457381</v>
      </c>
      <c r="AW19">
        <f t="shared" si="6"/>
        <v>64.596332566901097</v>
      </c>
      <c r="AX19">
        <f t="shared" si="6"/>
        <v>66.752337775233599</v>
      </c>
      <c r="AY19">
        <f t="shared" si="6"/>
        <v>68.948328604454844</v>
      </c>
      <c r="AZ19">
        <f t="shared" si="6"/>
        <v>71.184305054564874</v>
      </c>
      <c r="BA19">
        <f t="shared" si="6"/>
        <v>73.460267125563661</v>
      </c>
    </row>
    <row r="20" spans="2:53" x14ac:dyDescent="0.45">
      <c r="B20">
        <f t="shared" si="3"/>
        <v>3.0000000000000004</v>
      </c>
      <c r="C20">
        <f t="shared" si="2"/>
        <v>9.2700581944736786</v>
      </c>
      <c r="D20">
        <f t="shared" si="2"/>
        <v>9.6048001328553099</v>
      </c>
      <c r="E20">
        <f t="shared" si="2"/>
        <v>9.9795276921257052</v>
      </c>
      <c r="F20">
        <f t="shared" si="2"/>
        <v>10.394240872284866</v>
      </c>
      <c r="G20">
        <f t="shared" si="2"/>
        <v>10.84893967333279</v>
      </c>
      <c r="H20">
        <f t="shared" si="2"/>
        <v>11.34362409526948</v>
      </c>
      <c r="I20">
        <f t="shared" si="2"/>
        <v>11.878294138094937</v>
      </c>
      <c r="J20">
        <f t="shared" si="2"/>
        <v>12.452949801809156</v>
      </c>
      <c r="K20">
        <f t="shared" si="2"/>
        <v>13.067591086412142</v>
      </c>
      <c r="L20">
        <f t="shared" si="2"/>
        <v>13.722217991903893</v>
      </c>
      <c r="M20">
        <f t="shared" si="2"/>
        <v>14.416830518284407</v>
      </c>
      <c r="N20">
        <f t="shared" si="2"/>
        <v>15.151428665553688</v>
      </c>
      <c r="O20">
        <f t="shared" si="2"/>
        <v>15.926012433711733</v>
      </c>
      <c r="P20">
        <f t="shared" si="2"/>
        <v>16.740581822758543</v>
      </c>
      <c r="Q20">
        <f t="shared" si="2"/>
        <v>17.59513683269412</v>
      </c>
      <c r="R20">
        <f t="shared" si="2"/>
        <v>18.489677463518461</v>
      </c>
      <c r="S20">
        <f t="shared" si="4"/>
        <v>19.424203715231567</v>
      </c>
      <c r="T20">
        <f t="shared" si="4"/>
        <v>20.39871558783344</v>
      </c>
      <c r="U20">
        <f t="shared" si="4"/>
        <v>21.41321308132407</v>
      </c>
      <c r="V20">
        <f t="shared" si="4"/>
        <v>22.467696195703475</v>
      </c>
      <c r="W20">
        <f t="shared" si="4"/>
        <v>23.562164930971633</v>
      </c>
      <c r="X20">
        <f t="shared" si="4"/>
        <v>24.69661928712857</v>
      </c>
      <c r="Y20">
        <f t="shared" si="5"/>
        <v>25.871059264174264</v>
      </c>
      <c r="Z20">
        <f t="shared" si="5"/>
        <v>27.085484862108725</v>
      </c>
      <c r="AA20">
        <f t="shared" si="5"/>
        <v>28.33989608093195</v>
      </c>
      <c r="AB20">
        <f t="shared" si="5"/>
        <v>29.63429292064394</v>
      </c>
      <c r="AC20">
        <f t="shared" si="5"/>
        <v>30.968675381244701</v>
      </c>
      <c r="AD20">
        <f t="shared" si="5"/>
        <v>32.343043462734215</v>
      </c>
      <c r="AE20">
        <f t="shared" si="5"/>
        <v>33.757397165112508</v>
      </c>
      <c r="AF20">
        <f t="shared" si="5"/>
        <v>35.211736488379557</v>
      </c>
      <c r="AG20">
        <f t="shared" si="5"/>
        <v>36.706061432535378</v>
      </c>
      <c r="AH20">
        <f t="shared" si="5"/>
        <v>38.240371997579956</v>
      </c>
      <c r="AI20">
        <f t="shared" si="5"/>
        <v>39.814668183513305</v>
      </c>
      <c r="AJ20">
        <f t="shared" si="5"/>
        <v>41.428949990335418</v>
      </c>
      <c r="AK20">
        <f t="shared" si="5"/>
        <v>43.083217418046289</v>
      </c>
      <c r="AL20">
        <f t="shared" si="5"/>
        <v>44.777470466645937</v>
      </c>
      <c r="AM20">
        <f t="shared" si="5"/>
        <v>46.511709136134343</v>
      </c>
      <c r="AN20">
        <f t="shared" si="5"/>
        <v>48.285933426511512</v>
      </c>
      <c r="AO20">
        <f t="shared" si="6"/>
        <v>50.100143337777446</v>
      </c>
      <c r="AP20">
        <f t="shared" si="6"/>
        <v>51.954338869932151</v>
      </c>
      <c r="AQ20">
        <f t="shared" si="6"/>
        <v>53.848520022975606</v>
      </c>
      <c r="AR20">
        <f t="shared" si="6"/>
        <v>55.782686796907832</v>
      </c>
      <c r="AS20">
        <f t="shared" si="6"/>
        <v>57.756839191728815</v>
      </c>
      <c r="AT20">
        <f t="shared" si="6"/>
        <v>59.77097720743857</v>
      </c>
      <c r="AU20">
        <f t="shared" si="6"/>
        <v>61.825100844037088</v>
      </c>
      <c r="AV20">
        <f t="shared" si="6"/>
        <v>63.919210101524371</v>
      </c>
      <c r="AW20">
        <f t="shared" si="6"/>
        <v>66.053304979900417</v>
      </c>
      <c r="AX20">
        <f t="shared" si="6"/>
        <v>68.227385479165221</v>
      </c>
      <c r="AY20">
        <f t="shared" si="6"/>
        <v>70.44145159931881</v>
      </c>
      <c r="AZ20">
        <f t="shared" si="6"/>
        <v>72.695503340361142</v>
      </c>
      <c r="BA20">
        <f t="shared" si="6"/>
        <v>74.989540702292246</v>
      </c>
    </row>
    <row r="21" spans="2:53" x14ac:dyDescent="0.45">
      <c r="B21">
        <f t="shared" si="3"/>
        <v>3.2000000000000006</v>
      </c>
      <c r="C21">
        <f t="shared" si="2"/>
        <v>9.9310288551193686</v>
      </c>
      <c r="D21">
        <f t="shared" si="2"/>
        <v>10.283846084433318</v>
      </c>
      <c r="E21">
        <f t="shared" si="2"/>
        <v>10.676648934636034</v>
      </c>
      <c r="F21">
        <f t="shared" si="2"/>
        <v>11.109437405727515</v>
      </c>
      <c r="G21">
        <f t="shared" si="2"/>
        <v>11.58221149770776</v>
      </c>
      <c r="H21">
        <f t="shared" si="2"/>
        <v>12.094971210576771</v>
      </c>
      <c r="I21">
        <f t="shared" si="2"/>
        <v>12.647716544334545</v>
      </c>
      <c r="J21">
        <f t="shared" si="2"/>
        <v>13.240447498981085</v>
      </c>
      <c r="K21">
        <f t="shared" si="2"/>
        <v>13.87316407451639</v>
      </c>
      <c r="L21">
        <f t="shared" si="2"/>
        <v>14.545866270940463</v>
      </c>
      <c r="M21">
        <f t="shared" si="2"/>
        <v>15.258554088253295</v>
      </c>
      <c r="N21">
        <f t="shared" si="2"/>
        <v>16.011227526454896</v>
      </c>
      <c r="O21">
        <f t="shared" si="2"/>
        <v>16.803886585545261</v>
      </c>
      <c r="P21">
        <f t="shared" si="2"/>
        <v>17.636531265524393</v>
      </c>
      <c r="Q21">
        <f t="shared" si="2"/>
        <v>18.50916156639229</v>
      </c>
      <c r="R21">
        <f t="shared" si="2"/>
        <v>19.421777488148951</v>
      </c>
      <c r="S21">
        <f t="shared" si="4"/>
        <v>20.374379030794376</v>
      </c>
      <c r="T21">
        <f t="shared" si="4"/>
        <v>21.366966194328569</v>
      </c>
      <c r="U21">
        <f t="shared" si="4"/>
        <v>22.399538978751522</v>
      </c>
      <c r="V21">
        <f t="shared" si="4"/>
        <v>23.472097384063243</v>
      </c>
      <c r="W21">
        <f t="shared" si="4"/>
        <v>24.584641410263728</v>
      </c>
      <c r="X21">
        <f t="shared" si="4"/>
        <v>25.737171057352977</v>
      </c>
      <c r="Y21">
        <f t="shared" si="5"/>
        <v>26.929686325330994</v>
      </c>
      <c r="Z21">
        <f t="shared" si="5"/>
        <v>28.162187214197779</v>
      </c>
      <c r="AA21">
        <f t="shared" si="5"/>
        <v>29.434673723953324</v>
      </c>
      <c r="AB21">
        <f t="shared" si="5"/>
        <v>30.747145854597633</v>
      </c>
      <c r="AC21">
        <f t="shared" si="5"/>
        <v>32.099603606130714</v>
      </c>
      <c r="AD21">
        <f t="shared" si="5"/>
        <v>33.492046978552551</v>
      </c>
      <c r="AE21">
        <f t="shared" si="5"/>
        <v>34.92447597186316</v>
      </c>
      <c r="AF21">
        <f t="shared" si="5"/>
        <v>36.396890586062533</v>
      </c>
      <c r="AG21">
        <f t="shared" si="5"/>
        <v>37.90929082115067</v>
      </c>
      <c r="AH21">
        <f t="shared" si="5"/>
        <v>39.461676677127571</v>
      </c>
      <c r="AI21">
        <f t="shared" si="5"/>
        <v>41.054048153993236</v>
      </c>
      <c r="AJ21">
        <f t="shared" si="5"/>
        <v>42.686405251747672</v>
      </c>
      <c r="AK21">
        <f t="shared" si="5"/>
        <v>44.358747970390866</v>
      </c>
      <c r="AL21">
        <f t="shared" si="5"/>
        <v>46.07107630992283</v>
      </c>
      <c r="AM21">
        <f t="shared" si="5"/>
        <v>47.823390270343559</v>
      </c>
      <c r="AN21">
        <f t="shared" si="5"/>
        <v>49.615689851653052</v>
      </c>
      <c r="AO21">
        <f t="shared" si="6"/>
        <v>51.447975053851309</v>
      </c>
      <c r="AP21">
        <f t="shared" si="6"/>
        <v>53.32024587693833</v>
      </c>
      <c r="AQ21">
        <f t="shared" si="6"/>
        <v>55.232502320914108</v>
      </c>
      <c r="AR21">
        <f t="shared" si="6"/>
        <v>57.18474438577865</v>
      </c>
      <c r="AS21">
        <f t="shared" si="6"/>
        <v>59.176972071531956</v>
      </c>
      <c r="AT21">
        <f t="shared" si="6"/>
        <v>61.209185378174027</v>
      </c>
      <c r="AU21">
        <f t="shared" si="6"/>
        <v>63.281384305704869</v>
      </c>
      <c r="AV21">
        <f t="shared" si="6"/>
        <v>65.393568854124467</v>
      </c>
      <c r="AW21">
        <f t="shared" si="6"/>
        <v>67.54573902343283</v>
      </c>
      <c r="AX21">
        <f t="shared" si="6"/>
        <v>69.737894813629964</v>
      </c>
      <c r="AY21">
        <f t="shared" si="6"/>
        <v>71.970036224715855</v>
      </c>
      <c r="AZ21">
        <f t="shared" si="6"/>
        <v>74.242163256690517</v>
      </c>
      <c r="BA21">
        <f t="shared" si="6"/>
        <v>76.554275909553951</v>
      </c>
    </row>
    <row r="22" spans="2:53" x14ac:dyDescent="0.45">
      <c r="B22">
        <f t="shared" si="3"/>
        <v>3.4000000000000008</v>
      </c>
      <c r="C22">
        <f t="shared" si="2"/>
        <v>10.62746114629816</v>
      </c>
      <c r="D22">
        <f t="shared" si="2"/>
        <v>10.998353666544428</v>
      </c>
      <c r="E22">
        <f t="shared" si="2"/>
        <v>11.409231807679465</v>
      </c>
      <c r="F22">
        <f t="shared" si="2"/>
        <v>11.860095569703265</v>
      </c>
      <c r="G22">
        <f t="shared" si="2"/>
        <v>12.35094495261583</v>
      </c>
      <c r="H22">
        <f t="shared" si="2"/>
        <v>12.881779956417162</v>
      </c>
      <c r="I22">
        <f t="shared" si="2"/>
        <v>13.452600581107257</v>
      </c>
      <c r="J22">
        <f t="shared" si="2"/>
        <v>14.063406826686117</v>
      </c>
      <c r="K22">
        <f t="shared" si="2"/>
        <v>14.714198693153744</v>
      </c>
      <c r="L22">
        <f t="shared" si="2"/>
        <v>15.404976180510133</v>
      </c>
      <c r="M22">
        <f t="shared" si="2"/>
        <v>16.135739288755289</v>
      </c>
      <c r="N22">
        <f t="shared" si="2"/>
        <v>16.90648801788921</v>
      </c>
      <c r="O22">
        <f t="shared" si="2"/>
        <v>17.717222367911894</v>
      </c>
      <c r="P22">
        <f t="shared" si="2"/>
        <v>18.567942338823347</v>
      </c>
      <c r="Q22">
        <f t="shared" si="2"/>
        <v>19.458647930623563</v>
      </c>
      <c r="R22">
        <f t="shared" si="2"/>
        <v>20.38933914331254</v>
      </c>
      <c r="S22">
        <f t="shared" si="4"/>
        <v>21.360015976890285</v>
      </c>
      <c r="T22">
        <f t="shared" si="4"/>
        <v>22.370678431356801</v>
      </c>
      <c r="U22">
        <f t="shared" si="4"/>
        <v>23.421326506712077</v>
      </c>
      <c r="V22">
        <f t="shared" si="4"/>
        <v>24.511960202956121</v>
      </c>
      <c r="W22">
        <f t="shared" si="4"/>
        <v>25.642579520088923</v>
      </c>
      <c r="X22">
        <f t="shared" si="4"/>
        <v>26.813184458110495</v>
      </c>
      <c r="Y22">
        <f t="shared" si="5"/>
        <v>28.023775017020832</v>
      </c>
      <c r="Z22">
        <f t="shared" si="5"/>
        <v>29.274351196819932</v>
      </c>
      <c r="AA22">
        <f t="shared" si="5"/>
        <v>30.564912997507797</v>
      </c>
      <c r="AB22">
        <f t="shared" si="5"/>
        <v>31.895460419084426</v>
      </c>
      <c r="AC22">
        <f t="shared" si="5"/>
        <v>33.265993461549826</v>
      </c>
      <c r="AD22">
        <f t="shared" si="5"/>
        <v>34.676512124903986</v>
      </c>
      <c r="AE22">
        <f t="shared" si="5"/>
        <v>36.127016409146918</v>
      </c>
      <c r="AF22">
        <f t="shared" si="5"/>
        <v>37.617506314278607</v>
      </c>
      <c r="AG22">
        <f t="shared" si="5"/>
        <v>39.147981840299053</v>
      </c>
      <c r="AH22">
        <f t="shared" si="5"/>
        <v>40.718442987208277</v>
      </c>
      <c r="AI22">
        <f t="shared" si="5"/>
        <v>42.328889755006273</v>
      </c>
      <c r="AJ22">
        <f t="shared" si="5"/>
        <v>43.979322143693018</v>
      </c>
      <c r="AK22">
        <f t="shared" si="5"/>
        <v>45.669740153268542</v>
      </c>
      <c r="AL22">
        <f t="shared" si="5"/>
        <v>47.400143783732815</v>
      </c>
      <c r="AM22">
        <f t="shared" si="5"/>
        <v>49.170533035085867</v>
      </c>
      <c r="AN22">
        <f t="shared" si="5"/>
        <v>50.980907907327676</v>
      </c>
      <c r="AO22">
        <f t="shared" si="6"/>
        <v>52.831268400458256</v>
      </c>
      <c r="AP22">
        <f t="shared" si="6"/>
        <v>54.721614514477601</v>
      </c>
      <c r="AQ22">
        <f t="shared" si="6"/>
        <v>56.651946249385695</v>
      </c>
      <c r="AR22">
        <f t="shared" si="6"/>
        <v>58.622263605182567</v>
      </c>
      <c r="AS22">
        <f t="shared" si="6"/>
        <v>60.632566581868183</v>
      </c>
      <c r="AT22">
        <f t="shared" si="6"/>
        <v>62.682855179442576</v>
      </c>
      <c r="AU22">
        <f t="shared" si="6"/>
        <v>64.773129397905734</v>
      </c>
      <c r="AV22">
        <f t="shared" si="6"/>
        <v>66.903389237257656</v>
      </c>
      <c r="AW22">
        <f t="shared" si="6"/>
        <v>69.073634697498349</v>
      </c>
      <c r="AX22">
        <f t="shared" si="6"/>
        <v>71.283865778627799</v>
      </c>
      <c r="AY22">
        <f t="shared" si="6"/>
        <v>73.534082480646006</v>
      </c>
      <c r="AZ22">
        <f t="shared" si="6"/>
        <v>75.824284803552999</v>
      </c>
      <c r="BA22">
        <f t="shared" si="6"/>
        <v>78.154472747348734</v>
      </c>
    </row>
    <row r="23" spans="2:53" x14ac:dyDescent="0.45">
      <c r="B23">
        <f t="shared" si="3"/>
        <v>3.600000000000001</v>
      </c>
      <c r="C23">
        <f t="shared" si="2"/>
        <v>11.35935506801005</v>
      </c>
      <c r="D23">
        <f t="shared" si="2"/>
        <v>11.748322879188638</v>
      </c>
      <c r="E23">
        <f t="shared" si="2"/>
        <v>12.177276311255996</v>
      </c>
      <c r="F23">
        <f t="shared" si="2"/>
        <v>12.646215364212116</v>
      </c>
      <c r="G23">
        <f t="shared" si="2"/>
        <v>13.155140038057002</v>
      </c>
      <c r="H23">
        <f t="shared" si="2"/>
        <v>13.704050332790652</v>
      </c>
      <c r="I23">
        <f t="shared" si="2"/>
        <v>14.292946248413067</v>
      </c>
      <c r="J23">
        <f t="shared" si="2"/>
        <v>14.921827784924247</v>
      </c>
      <c r="K23">
        <f t="shared" si="2"/>
        <v>15.590694942324193</v>
      </c>
      <c r="L23">
        <f t="shared" si="2"/>
        <v>16.299547720612907</v>
      </c>
      <c r="M23">
        <f t="shared" si="2"/>
        <v>17.048386119790379</v>
      </c>
      <c r="N23">
        <f t="shared" si="2"/>
        <v>17.837210139856619</v>
      </c>
      <c r="O23">
        <f t="shared" si="2"/>
        <v>18.666019780811624</v>
      </c>
      <c r="P23">
        <f t="shared" si="2"/>
        <v>19.534815042655396</v>
      </c>
      <c r="Q23">
        <f t="shared" si="2"/>
        <v>20.443595925387935</v>
      </c>
      <c r="R23">
        <f t="shared" si="2"/>
        <v>21.392362429009236</v>
      </c>
      <c r="S23">
        <f t="shared" si="4"/>
        <v>22.3811145535193</v>
      </c>
      <c r="T23">
        <f t="shared" si="4"/>
        <v>23.409852298918132</v>
      </c>
      <c r="U23">
        <f t="shared" si="4"/>
        <v>24.478575665205728</v>
      </c>
      <c r="V23">
        <f t="shared" si="4"/>
        <v>25.587284652382088</v>
      </c>
      <c r="W23">
        <f t="shared" si="4"/>
        <v>26.735979260447213</v>
      </c>
      <c r="X23">
        <f t="shared" si="4"/>
        <v>27.924659489401101</v>
      </c>
      <c r="Y23">
        <f t="shared" si="5"/>
        <v>29.153325339243761</v>
      </c>
      <c r="Z23">
        <f t="shared" si="5"/>
        <v>30.421976809975185</v>
      </c>
      <c r="AA23">
        <f t="shared" si="5"/>
        <v>31.730613901595369</v>
      </c>
      <c r="AB23">
        <f t="shared" si="5"/>
        <v>33.079236614104325</v>
      </c>
      <c r="AC23">
        <f t="shared" si="5"/>
        <v>34.467844947502037</v>
      </c>
      <c r="AD23">
        <f t="shared" si="5"/>
        <v>35.896438901788514</v>
      </c>
      <c r="AE23">
        <f t="shared" si="5"/>
        <v>37.365018476963769</v>
      </c>
      <c r="AF23">
        <f t="shared" si="5"/>
        <v>38.873583673027774</v>
      </c>
      <c r="AG23">
        <f t="shared" si="5"/>
        <v>40.42213448998055</v>
      </c>
      <c r="AH23">
        <f t="shared" si="5"/>
        <v>42.01067092782209</v>
      </c>
      <c r="AI23">
        <f t="shared" si="5"/>
        <v>43.639192986552402</v>
      </c>
      <c r="AJ23">
        <f t="shared" si="5"/>
        <v>45.307700666171478</v>
      </c>
      <c r="AK23">
        <f t="shared" si="5"/>
        <v>47.01619396667931</v>
      </c>
      <c r="AL23">
        <f t="shared" si="5"/>
        <v>48.764672888075914</v>
      </c>
      <c r="AM23">
        <f t="shared" si="5"/>
        <v>50.553137430361282</v>
      </c>
      <c r="AN23">
        <f t="shared" si="5"/>
        <v>52.381587593535414</v>
      </c>
      <c r="AO23">
        <f t="shared" si="6"/>
        <v>54.250023377598311</v>
      </c>
      <c r="AP23">
        <f t="shared" si="6"/>
        <v>56.158444782549978</v>
      </c>
      <c r="AQ23">
        <f t="shared" si="6"/>
        <v>58.106851808390388</v>
      </c>
      <c r="AR23">
        <f t="shared" si="6"/>
        <v>60.09524445511957</v>
      </c>
      <c r="AS23">
        <f t="shared" si="6"/>
        <v>62.123622722737522</v>
      </c>
      <c r="AT23">
        <f t="shared" si="6"/>
        <v>64.191986611244232</v>
      </c>
      <c r="AU23">
        <f t="shared" si="6"/>
        <v>66.300336120639713</v>
      </c>
      <c r="AV23">
        <f t="shared" si="6"/>
        <v>68.448671250923951</v>
      </c>
      <c r="AW23">
        <f t="shared" si="6"/>
        <v>70.63699200209696</v>
      </c>
      <c r="AX23">
        <f t="shared" si="6"/>
        <v>72.865298374158726</v>
      </c>
      <c r="AY23">
        <f t="shared" si="6"/>
        <v>75.133590367109264</v>
      </c>
      <c r="AZ23">
        <f t="shared" si="6"/>
        <v>77.441867980948572</v>
      </c>
      <c r="BA23">
        <f t="shared" si="6"/>
        <v>79.790131215676624</v>
      </c>
    </row>
    <row r="24" spans="2:53" x14ac:dyDescent="0.45">
      <c r="B24">
        <f t="shared" si="3"/>
        <v>3.8000000000000012</v>
      </c>
      <c r="C24">
        <f t="shared" si="2"/>
        <v>12.126710620255039</v>
      </c>
      <c r="D24">
        <f t="shared" si="2"/>
        <v>12.533753722365949</v>
      </c>
      <c r="E24">
        <f t="shared" si="2"/>
        <v>12.980782445365625</v>
      </c>
      <c r="F24">
        <f t="shared" si="2"/>
        <v>13.467796789254066</v>
      </c>
      <c r="G24">
        <f t="shared" si="2"/>
        <v>13.99479675403127</v>
      </c>
      <c r="H24">
        <f t="shared" si="2"/>
        <v>14.561782339697244</v>
      </c>
      <c r="I24">
        <f t="shared" si="2"/>
        <v>15.168753546251978</v>
      </c>
      <c r="J24">
        <f t="shared" si="2"/>
        <v>15.815710373695477</v>
      </c>
      <c r="K24">
        <f t="shared" si="2"/>
        <v>16.502652822027741</v>
      </c>
      <c r="L24">
        <f t="shared" si="2"/>
        <v>17.229580891248776</v>
      </c>
      <c r="M24">
        <f t="shared" si="2"/>
        <v>17.996494581358569</v>
      </c>
      <c r="N24">
        <f t="shared" si="2"/>
        <v>18.803393892357128</v>
      </c>
      <c r="O24">
        <f t="shared" si="2"/>
        <v>19.650278824244456</v>
      </c>
      <c r="P24">
        <f t="shared" si="2"/>
        <v>20.537149377020548</v>
      </c>
      <c r="Q24">
        <f t="shared" si="2"/>
        <v>21.4640055506854</v>
      </c>
      <c r="R24">
        <f t="shared" si="2"/>
        <v>22.430847345239027</v>
      </c>
      <c r="S24">
        <f t="shared" si="4"/>
        <v>23.437674760681411</v>
      </c>
      <c r="T24">
        <f t="shared" si="4"/>
        <v>24.484487797012566</v>
      </c>
      <c r="U24">
        <f t="shared" si="4"/>
        <v>25.571286454232478</v>
      </c>
      <c r="V24">
        <f t="shared" si="4"/>
        <v>26.698070732341158</v>
      </c>
      <c r="W24">
        <f t="shared" si="4"/>
        <v>27.864840631338605</v>
      </c>
      <c r="X24">
        <f t="shared" si="4"/>
        <v>29.071596151224814</v>
      </c>
      <c r="Y24">
        <f t="shared" si="5"/>
        <v>30.318337291999789</v>
      </c>
      <c r="Z24">
        <f t="shared" si="5"/>
        <v>31.605064053663533</v>
      </c>
      <c r="AA24">
        <f t="shared" si="5"/>
        <v>32.93177643621604</v>
      </c>
      <c r="AB24">
        <f t="shared" si="5"/>
        <v>34.298474439657312</v>
      </c>
      <c r="AC24">
        <f t="shared" si="5"/>
        <v>35.705158063987348</v>
      </c>
      <c r="AD24">
        <f t="shared" si="5"/>
        <v>37.151827309206148</v>
      </c>
      <c r="AE24">
        <f t="shared" si="5"/>
        <v>38.638482175313712</v>
      </c>
      <c r="AF24">
        <f t="shared" si="5"/>
        <v>40.165122662310047</v>
      </c>
      <c r="AG24">
        <f t="shared" si="5"/>
        <v>41.731748770195146</v>
      </c>
      <c r="AH24">
        <f t="shared" si="5"/>
        <v>43.33836049896901</v>
      </c>
      <c r="AI24">
        <f t="shared" si="5"/>
        <v>44.984957848631637</v>
      </c>
      <c r="AJ24">
        <f t="shared" si="5"/>
        <v>46.671540819183036</v>
      </c>
      <c r="AK24">
        <f t="shared" si="5"/>
        <v>48.398109410623185</v>
      </c>
      <c r="AL24">
        <f t="shared" si="5"/>
        <v>50.164663622952112</v>
      </c>
      <c r="AM24">
        <f t="shared" si="5"/>
        <v>51.971203456169803</v>
      </c>
      <c r="AN24">
        <f t="shared" si="5"/>
        <v>53.817728910276244</v>
      </c>
      <c r="AO24">
        <f t="shared" si="6"/>
        <v>55.704239985271464</v>
      </c>
      <c r="AP24">
        <f t="shared" si="6"/>
        <v>57.630736681155454</v>
      </c>
      <c r="AQ24">
        <f t="shared" si="6"/>
        <v>59.597218997928181</v>
      </c>
      <c r="AR24">
        <f t="shared" si="6"/>
        <v>61.603686935589693</v>
      </c>
      <c r="AS24">
        <f t="shared" si="6"/>
        <v>63.650140494139954</v>
      </c>
      <c r="AT24">
        <f t="shared" si="6"/>
        <v>65.736579673578987</v>
      </c>
      <c r="AU24">
        <f t="shared" si="6"/>
        <v>67.863004473906784</v>
      </c>
      <c r="AV24">
        <f t="shared" si="6"/>
        <v>70.029414895123352</v>
      </c>
      <c r="AW24">
        <f t="shared" si="6"/>
        <v>72.235810937228678</v>
      </c>
      <c r="AX24">
        <f t="shared" si="6"/>
        <v>74.48219260022276</v>
      </c>
      <c r="AY24">
        <f t="shared" si="6"/>
        <v>76.768559884105628</v>
      </c>
      <c r="AZ24">
        <f t="shared" si="6"/>
        <v>79.094912788877238</v>
      </c>
      <c r="BA24">
        <f t="shared" si="6"/>
        <v>81.46125131453762</v>
      </c>
    </row>
    <row r="25" spans="2:53" x14ac:dyDescent="0.45">
      <c r="B25">
        <f t="shared" si="3"/>
        <v>4.0000000000000009</v>
      </c>
      <c r="C25">
        <f t="shared" si="2"/>
        <v>12.929527803033128</v>
      </c>
      <c r="D25">
        <f t="shared" si="2"/>
        <v>13.354646196076359</v>
      </c>
      <c r="E25">
        <f t="shared" si="2"/>
        <v>13.819750210008356</v>
      </c>
      <c r="F25">
        <f t="shared" si="2"/>
        <v>14.324839844829116</v>
      </c>
      <c r="G25">
        <f t="shared" si="2"/>
        <v>14.869915100538641</v>
      </c>
      <c r="H25">
        <f t="shared" si="2"/>
        <v>15.454975977136932</v>
      </c>
      <c r="I25">
        <f t="shared" si="2"/>
        <v>16.080022474623988</v>
      </c>
      <c r="J25">
        <f t="shared" si="2"/>
        <v>16.745054592999807</v>
      </c>
      <c r="K25">
        <f t="shared" si="2"/>
        <v>17.450072332264394</v>
      </c>
      <c r="L25">
        <f t="shared" si="2"/>
        <v>18.195075692417745</v>
      </c>
      <c r="M25">
        <f t="shared" si="2"/>
        <v>18.980064673459861</v>
      </c>
      <c r="N25">
        <f t="shared" si="2"/>
        <v>19.80503927539074</v>
      </c>
      <c r="O25">
        <f t="shared" si="2"/>
        <v>20.669999498210387</v>
      </c>
      <c r="P25">
        <f t="shared" si="2"/>
        <v>21.574945341918799</v>
      </c>
      <c r="Q25">
        <f t="shared" si="2"/>
        <v>22.519876806515974</v>
      </c>
      <c r="R25">
        <f t="shared" si="2"/>
        <v>23.504793892001913</v>
      </c>
      <c r="S25">
        <f t="shared" si="4"/>
        <v>24.529696598376621</v>
      </c>
      <c r="T25">
        <f t="shared" si="4"/>
        <v>25.594584925640095</v>
      </c>
      <c r="U25">
        <f t="shared" si="4"/>
        <v>26.699458873792327</v>
      </c>
      <c r="V25">
        <f t="shared" si="4"/>
        <v>27.84431844283333</v>
      </c>
      <c r="W25">
        <f t="shared" si="4"/>
        <v>29.029163632763098</v>
      </c>
      <c r="X25">
        <f t="shared" si="4"/>
        <v>30.253994443581625</v>
      </c>
      <c r="Y25">
        <f t="shared" si="5"/>
        <v>31.518810875288924</v>
      </c>
      <c r="Z25">
        <f t="shared" si="5"/>
        <v>32.823612927884987</v>
      </c>
      <c r="AA25">
        <f t="shared" si="5"/>
        <v>34.168400601369811</v>
      </c>
      <c r="AB25">
        <f t="shared" si="5"/>
        <v>35.553173895743399</v>
      </c>
      <c r="AC25">
        <f t="shared" si="5"/>
        <v>36.977932811005758</v>
      </c>
      <c r="AD25">
        <f t="shared" si="5"/>
        <v>38.442677347156881</v>
      </c>
      <c r="AE25">
        <f t="shared" si="5"/>
        <v>39.947407504196768</v>
      </c>
      <c r="AF25">
        <f t="shared" si="5"/>
        <v>41.492123282125419</v>
      </c>
      <c r="AG25">
        <f t="shared" si="5"/>
        <v>43.076824680942835</v>
      </c>
      <c r="AH25">
        <f t="shared" si="5"/>
        <v>44.701511700649021</v>
      </c>
      <c r="AI25">
        <f t="shared" si="5"/>
        <v>46.366184341243965</v>
      </c>
      <c r="AJ25">
        <f t="shared" si="5"/>
        <v>48.07084260272768</v>
      </c>
      <c r="AK25">
        <f t="shared" si="5"/>
        <v>49.815486485100152</v>
      </c>
      <c r="AL25">
        <f t="shared" si="5"/>
        <v>51.600115988361395</v>
      </c>
      <c r="AM25">
        <f t="shared" si="5"/>
        <v>53.424731112511402</v>
      </c>
      <c r="AN25">
        <f t="shared" ref="AN25:BA40" si="7">$A$2+$B$2*AN$4+$C$2*$B25+$D$2*AN$4^2+$E$2*$B25^2+$F$2*AN$4*$B25</f>
        <v>55.289331857550181</v>
      </c>
      <c r="AO25">
        <f t="shared" si="7"/>
        <v>57.193918223477716</v>
      </c>
      <c r="AP25">
        <f t="shared" si="7"/>
        <v>59.138490210294009</v>
      </c>
      <c r="AQ25">
        <f t="shared" si="7"/>
        <v>61.12304781799908</v>
      </c>
      <c r="AR25">
        <f t="shared" si="7"/>
        <v>63.147591046592893</v>
      </c>
      <c r="AS25">
        <f t="shared" si="7"/>
        <v>65.212119896075492</v>
      </c>
      <c r="AT25">
        <f t="shared" si="7"/>
        <v>67.316634366446834</v>
      </c>
      <c r="AU25">
        <f t="shared" si="7"/>
        <v>69.461134457706962</v>
      </c>
      <c r="AV25">
        <f t="shared" si="7"/>
        <v>71.645620169855832</v>
      </c>
      <c r="AW25">
        <f t="shared" si="7"/>
        <v>73.870091502893487</v>
      </c>
      <c r="AX25">
        <f t="shared" si="7"/>
        <v>76.134548456819886</v>
      </c>
      <c r="AY25">
        <f t="shared" si="7"/>
        <v>78.438991031635069</v>
      </c>
      <c r="AZ25">
        <f t="shared" si="7"/>
        <v>80.78341922733901</v>
      </c>
      <c r="BA25">
        <f t="shared" si="7"/>
        <v>83.167833043931722</v>
      </c>
    </row>
    <row r="26" spans="2:53" x14ac:dyDescent="0.45">
      <c r="B26">
        <f t="shared" si="3"/>
        <v>4.2000000000000011</v>
      </c>
      <c r="C26">
        <f t="shared" si="2"/>
        <v>13.76780661634432</v>
      </c>
      <c r="D26">
        <f t="shared" si="2"/>
        <v>14.211000300319869</v>
      </c>
      <c r="E26">
        <f t="shared" si="2"/>
        <v>14.694179605184186</v>
      </c>
      <c r="F26">
        <f t="shared" si="2"/>
        <v>15.217344530937266</v>
      </c>
      <c r="G26">
        <f t="shared" si="2"/>
        <v>15.780495077579111</v>
      </c>
      <c r="H26">
        <f t="shared" si="2"/>
        <v>16.383631245109722</v>
      </c>
      <c r="I26">
        <f t="shared" si="2"/>
        <v>17.026753033529097</v>
      </c>
      <c r="J26">
        <f t="shared" si="2"/>
        <v>17.70986044283724</v>
      </c>
      <c r="K26">
        <f t="shared" si="2"/>
        <v>18.432953473034143</v>
      </c>
      <c r="L26">
        <f t="shared" si="2"/>
        <v>19.196032124119814</v>
      </c>
      <c r="M26">
        <f t="shared" ref="M26:AB41" si="8">$A$2+$B$2*M$4+$C$2*$B26+$D$2*M$4^2+$E$2*$B26^2+$F$2*M$4*$B26</f>
        <v>19.999096396094249</v>
      </c>
      <c r="N26">
        <f t="shared" si="8"/>
        <v>20.842146288957451</v>
      </c>
      <c r="O26">
        <f t="shared" si="8"/>
        <v>21.725181802709415</v>
      </c>
      <c r="P26">
        <f t="shared" si="8"/>
        <v>22.648202937350149</v>
      </c>
      <c r="Q26">
        <f t="shared" si="8"/>
        <v>23.611209692879648</v>
      </c>
      <c r="R26">
        <f t="shared" si="8"/>
        <v>24.61420206929791</v>
      </c>
      <c r="S26">
        <f t="shared" si="8"/>
        <v>25.657180066604933</v>
      </c>
      <c r="T26">
        <f t="shared" si="8"/>
        <v>26.740143684800724</v>
      </c>
      <c r="U26">
        <f t="shared" si="8"/>
        <v>27.863092923885283</v>
      </c>
      <c r="V26">
        <f t="shared" si="8"/>
        <v>29.026027783858602</v>
      </c>
      <c r="W26">
        <f t="shared" si="8"/>
        <v>30.228948264720685</v>
      </c>
      <c r="X26">
        <f t="shared" si="8"/>
        <v>31.471854366471536</v>
      </c>
      <c r="Y26">
        <f t="shared" si="8"/>
        <v>32.754746089111151</v>
      </c>
      <c r="Z26">
        <f t="shared" si="8"/>
        <v>34.077623432639541</v>
      </c>
      <c r="AA26">
        <f t="shared" si="8"/>
        <v>35.440486397056688</v>
      </c>
      <c r="AB26">
        <f t="shared" si="8"/>
        <v>36.843334982362592</v>
      </c>
      <c r="AC26">
        <f t="shared" ref="AC26:AR41" si="9">$A$2+$B$2*AC$4+$C$2*$B26+$D$2*AC$4^2+$E$2*$B26^2+$F$2*AC$4*$B26</f>
        <v>38.286169188557274</v>
      </c>
      <c r="AD26">
        <f t="shared" si="9"/>
        <v>39.768989015640713</v>
      </c>
      <c r="AE26">
        <f t="shared" si="9"/>
        <v>41.291794463612923</v>
      </c>
      <c r="AF26">
        <f t="shared" si="9"/>
        <v>42.854585532473891</v>
      </c>
      <c r="AG26">
        <f t="shared" si="9"/>
        <v>44.45736222222363</v>
      </c>
      <c r="AH26">
        <f t="shared" si="9"/>
        <v>46.100124532862132</v>
      </c>
      <c r="AI26">
        <f t="shared" si="9"/>
        <v>47.782872464389399</v>
      </c>
      <c r="AJ26">
        <f t="shared" si="9"/>
        <v>49.50560601680543</v>
      </c>
      <c r="AK26">
        <f t="shared" si="9"/>
        <v>51.268325190110225</v>
      </c>
      <c r="AL26">
        <f t="shared" si="9"/>
        <v>53.071029984303784</v>
      </c>
      <c r="AM26">
        <f t="shared" si="9"/>
        <v>54.913720399386115</v>
      </c>
      <c r="AN26">
        <f t="shared" si="9"/>
        <v>56.796396435357217</v>
      </c>
      <c r="AO26">
        <f t="shared" si="9"/>
        <v>58.719058092217068</v>
      </c>
      <c r="AP26">
        <f t="shared" si="9"/>
        <v>60.681705369965684</v>
      </c>
      <c r="AQ26">
        <f t="shared" si="9"/>
        <v>62.684338268603071</v>
      </c>
      <c r="AR26">
        <f t="shared" si="9"/>
        <v>64.726956788129215</v>
      </c>
      <c r="AS26">
        <f t="shared" si="7"/>
        <v>66.80956092854413</v>
      </c>
      <c r="AT26">
        <f t="shared" si="7"/>
        <v>68.932150689847788</v>
      </c>
      <c r="AU26">
        <f t="shared" si="7"/>
        <v>71.094726072040231</v>
      </c>
      <c r="AV26">
        <f t="shared" si="7"/>
        <v>73.297287075121432</v>
      </c>
      <c r="AW26">
        <f t="shared" si="7"/>
        <v>75.539833699091403</v>
      </c>
      <c r="AX26">
        <f t="shared" si="7"/>
        <v>77.822365943950132</v>
      </c>
      <c r="AY26">
        <f t="shared" si="7"/>
        <v>80.144883809697617</v>
      </c>
      <c r="AZ26">
        <f t="shared" si="7"/>
        <v>82.507387296333889</v>
      </c>
      <c r="BA26">
        <f t="shared" si="7"/>
        <v>84.909876403858917</v>
      </c>
    </row>
    <row r="27" spans="2:53" x14ac:dyDescent="0.45">
      <c r="B27">
        <f t="shared" si="3"/>
        <v>4.4000000000000012</v>
      </c>
      <c r="C27">
        <f t="shared" ref="C27:R42" si="10">$A$2+$B$2*C$4+$C$2*$B27+$D$2*C$4^2+$E$2*$B27^2+$F$2*C$4*$B27</f>
        <v>14.641547060188611</v>
      </c>
      <c r="D27">
        <f t="shared" si="10"/>
        <v>15.102816035096479</v>
      </c>
      <c r="E27">
        <f t="shared" si="10"/>
        <v>15.604070630893117</v>
      </c>
      <c r="F27">
        <f t="shared" si="10"/>
        <v>16.145310847578518</v>
      </c>
      <c r="G27">
        <f t="shared" si="10"/>
        <v>16.726536685152684</v>
      </c>
      <c r="H27">
        <f t="shared" si="10"/>
        <v>17.347748143615615</v>
      </c>
      <c r="I27">
        <f t="shared" si="10"/>
        <v>18.008945222967309</v>
      </c>
      <c r="J27">
        <f t="shared" si="10"/>
        <v>18.710127923207772</v>
      </c>
      <c r="K27">
        <f t="shared" si="10"/>
        <v>19.451296244336998</v>
      </c>
      <c r="L27">
        <f t="shared" si="10"/>
        <v>20.232450186354988</v>
      </c>
      <c r="M27">
        <f t="shared" si="10"/>
        <v>21.053589749261743</v>
      </c>
      <c r="N27">
        <f t="shared" si="10"/>
        <v>21.914714933057265</v>
      </c>
      <c r="O27">
        <f t="shared" si="10"/>
        <v>22.815825737741548</v>
      </c>
      <c r="P27">
        <f t="shared" si="10"/>
        <v>23.756922163314602</v>
      </c>
      <c r="Q27">
        <f t="shared" si="10"/>
        <v>24.73800420977642</v>
      </c>
      <c r="R27">
        <f t="shared" si="10"/>
        <v>25.759071877126999</v>
      </c>
      <c r="S27">
        <f t="shared" si="8"/>
        <v>26.820125165366345</v>
      </c>
      <c r="T27">
        <f t="shared" si="8"/>
        <v>27.921164074494456</v>
      </c>
      <c r="U27">
        <f t="shared" si="8"/>
        <v>29.062188604511338</v>
      </c>
      <c r="V27">
        <f t="shared" si="8"/>
        <v>30.243198755416977</v>
      </c>
      <c r="W27">
        <f t="shared" si="8"/>
        <v>31.464194527211379</v>
      </c>
      <c r="X27">
        <f t="shared" si="8"/>
        <v>32.725175919894554</v>
      </c>
      <c r="Y27">
        <f t="shared" si="8"/>
        <v>34.026142933466488</v>
      </c>
      <c r="Z27">
        <f t="shared" si="8"/>
        <v>35.367095567927194</v>
      </c>
      <c r="AA27">
        <f t="shared" si="8"/>
        <v>36.748033823276657</v>
      </c>
      <c r="AB27">
        <f t="shared" si="8"/>
        <v>38.168957699514891</v>
      </c>
      <c r="AC27">
        <f t="shared" si="9"/>
        <v>39.629867196641882</v>
      </c>
      <c r="AD27">
        <f t="shared" si="9"/>
        <v>41.130762314657652</v>
      </c>
      <c r="AE27">
        <f t="shared" si="9"/>
        <v>42.671643053562171</v>
      </c>
      <c r="AF27">
        <f t="shared" si="9"/>
        <v>44.252509413355469</v>
      </c>
      <c r="AG27">
        <f t="shared" si="9"/>
        <v>45.873361394037524</v>
      </c>
      <c r="AH27">
        <f t="shared" si="9"/>
        <v>47.534198995608342</v>
      </c>
      <c r="AI27">
        <f t="shared" si="9"/>
        <v>49.235022218067932</v>
      </c>
      <c r="AJ27">
        <f t="shared" si="9"/>
        <v>50.975831061416287</v>
      </c>
      <c r="AK27">
        <f t="shared" si="9"/>
        <v>52.756625525653405</v>
      </c>
      <c r="AL27">
        <f t="shared" si="9"/>
        <v>54.577405610779287</v>
      </c>
      <c r="AM27">
        <f t="shared" si="9"/>
        <v>56.438171316793934</v>
      </c>
      <c r="AN27">
        <f t="shared" si="9"/>
        <v>58.338922643697344</v>
      </c>
      <c r="AO27">
        <f t="shared" si="9"/>
        <v>60.279659591489526</v>
      </c>
      <c r="AP27">
        <f t="shared" si="9"/>
        <v>62.260382160170465</v>
      </c>
      <c r="AQ27">
        <f t="shared" si="9"/>
        <v>64.281090349740168</v>
      </c>
      <c r="AR27">
        <f t="shared" si="9"/>
        <v>66.341784160198628</v>
      </c>
      <c r="AS27">
        <f t="shared" si="7"/>
        <v>68.442463591545845</v>
      </c>
      <c r="AT27">
        <f t="shared" si="7"/>
        <v>70.583128643781848</v>
      </c>
      <c r="AU27">
        <f t="shared" si="7"/>
        <v>72.763779316906607</v>
      </c>
      <c r="AV27">
        <f t="shared" si="7"/>
        <v>74.984415610920124</v>
      </c>
      <c r="AW27">
        <f t="shared" si="7"/>
        <v>77.245037525822411</v>
      </c>
      <c r="AX27">
        <f t="shared" si="7"/>
        <v>79.54564506161347</v>
      </c>
      <c r="AY27">
        <f t="shared" si="7"/>
        <v>81.886238218293272</v>
      </c>
      <c r="AZ27">
        <f t="shared" si="7"/>
        <v>84.266816995861859</v>
      </c>
      <c r="BA27">
        <f t="shared" si="7"/>
        <v>86.687381394319203</v>
      </c>
    </row>
    <row r="28" spans="2:53" x14ac:dyDescent="0.45">
      <c r="B28">
        <f t="shared" si="3"/>
        <v>4.6000000000000014</v>
      </c>
      <c r="C28">
        <f t="shared" si="10"/>
        <v>15.550749134566002</v>
      </c>
      <c r="D28">
        <f t="shared" si="10"/>
        <v>16.030093400406194</v>
      </c>
      <c r="E28">
        <f t="shared" si="10"/>
        <v>16.549423287135152</v>
      </c>
      <c r="F28">
        <f t="shared" si="10"/>
        <v>17.10873879475287</v>
      </c>
      <c r="G28">
        <f t="shared" si="10"/>
        <v>17.708039923259356</v>
      </c>
      <c r="H28">
        <f t="shared" si="10"/>
        <v>18.347326672654606</v>
      </c>
      <c r="I28">
        <f t="shared" si="10"/>
        <v>19.026599042938624</v>
      </c>
      <c r="J28">
        <f t="shared" si="10"/>
        <v>19.745857034111403</v>
      </c>
      <c r="K28">
        <f t="shared" si="10"/>
        <v>20.505100646172949</v>
      </c>
      <c r="L28">
        <f t="shared" si="10"/>
        <v>21.304329879123259</v>
      </c>
      <c r="M28">
        <f t="shared" si="10"/>
        <v>22.143544732962336</v>
      </c>
      <c r="N28">
        <f t="shared" si="10"/>
        <v>23.022745207690178</v>
      </c>
      <c r="O28">
        <f t="shared" si="10"/>
        <v>23.941931303306781</v>
      </c>
      <c r="P28">
        <f t="shared" si="10"/>
        <v>24.901103019812155</v>
      </c>
      <c r="Q28">
        <f t="shared" si="10"/>
        <v>25.900260357206289</v>
      </c>
      <c r="R28">
        <f t="shared" si="10"/>
        <v>26.939403315489191</v>
      </c>
      <c r="S28">
        <f t="shared" si="8"/>
        <v>28.018531894660857</v>
      </c>
      <c r="T28">
        <f t="shared" si="8"/>
        <v>29.137646094721294</v>
      </c>
      <c r="U28">
        <f t="shared" si="8"/>
        <v>30.296745915670488</v>
      </c>
      <c r="V28">
        <f t="shared" si="8"/>
        <v>31.49583135750845</v>
      </c>
      <c r="W28">
        <f t="shared" si="8"/>
        <v>32.734902420235173</v>
      </c>
      <c r="X28">
        <f t="shared" si="8"/>
        <v>34.013959103850667</v>
      </c>
      <c r="Y28">
        <f t="shared" si="8"/>
        <v>35.333001408354917</v>
      </c>
      <c r="Z28">
        <f t="shared" si="8"/>
        <v>36.692029333747946</v>
      </c>
      <c r="AA28">
        <f t="shared" si="8"/>
        <v>38.091042880029732</v>
      </c>
      <c r="AB28">
        <f t="shared" si="8"/>
        <v>39.530042047200283</v>
      </c>
      <c r="AC28">
        <f t="shared" si="9"/>
        <v>41.009026835259597</v>
      </c>
      <c r="AD28">
        <f t="shared" si="9"/>
        <v>42.527997244207683</v>
      </c>
      <c r="AE28">
        <f t="shared" si="9"/>
        <v>44.086953274044532</v>
      </c>
      <c r="AF28">
        <f t="shared" si="9"/>
        <v>45.685894924770139</v>
      </c>
      <c r="AG28">
        <f t="shared" si="9"/>
        <v>47.324822196384517</v>
      </c>
      <c r="AH28">
        <f t="shared" si="9"/>
        <v>49.003735088887659</v>
      </c>
      <c r="AI28">
        <f t="shared" si="9"/>
        <v>50.722633602279572</v>
      </c>
      <c r="AJ28">
        <f t="shared" si="9"/>
        <v>52.481517736560242</v>
      </c>
      <c r="AK28">
        <f t="shared" si="9"/>
        <v>54.280387491729677</v>
      </c>
      <c r="AL28">
        <f t="shared" si="9"/>
        <v>56.119242867787875</v>
      </c>
      <c r="AM28">
        <f t="shared" si="9"/>
        <v>57.998083864734852</v>
      </c>
      <c r="AN28">
        <f t="shared" si="9"/>
        <v>59.916910482570572</v>
      </c>
      <c r="AO28">
        <f t="shared" si="9"/>
        <v>61.875722721295077</v>
      </c>
      <c r="AP28">
        <f t="shared" si="9"/>
        <v>63.874520580908339</v>
      </c>
      <c r="AQ28">
        <f t="shared" si="9"/>
        <v>65.913304061410358</v>
      </c>
      <c r="AR28">
        <f t="shared" si="9"/>
        <v>67.992073162801134</v>
      </c>
      <c r="AS28">
        <f t="shared" si="7"/>
        <v>70.110827885080681</v>
      </c>
      <c r="AT28">
        <f t="shared" si="7"/>
        <v>72.269568228249</v>
      </c>
      <c r="AU28">
        <f t="shared" si="7"/>
        <v>74.468294192306075</v>
      </c>
      <c r="AV28">
        <f t="shared" si="7"/>
        <v>76.707005777251922</v>
      </c>
      <c r="AW28">
        <f t="shared" si="7"/>
        <v>78.985702983086526</v>
      </c>
      <c r="AX28">
        <f t="shared" si="7"/>
        <v>81.304385809809887</v>
      </c>
      <c r="AY28">
        <f t="shared" si="7"/>
        <v>83.663054257422033</v>
      </c>
      <c r="AZ28">
        <f t="shared" si="7"/>
        <v>86.06170832592295</v>
      </c>
      <c r="BA28">
        <f t="shared" si="7"/>
        <v>88.500348015312611</v>
      </c>
    </row>
    <row r="29" spans="2:53" x14ac:dyDescent="0.45">
      <c r="B29">
        <f t="shared" si="3"/>
        <v>4.8000000000000016</v>
      </c>
      <c r="C29">
        <f t="shared" si="10"/>
        <v>16.495412839476494</v>
      </c>
      <c r="D29">
        <f t="shared" si="10"/>
        <v>16.992832396249003</v>
      </c>
      <c r="E29">
        <f t="shared" si="10"/>
        <v>17.530237573910281</v>
      </c>
      <c r="F29">
        <f t="shared" si="10"/>
        <v>18.107628372460322</v>
      </c>
      <c r="G29">
        <f t="shared" si="10"/>
        <v>18.725004791899128</v>
      </c>
      <c r="H29">
        <f t="shared" si="10"/>
        <v>19.382366832226698</v>
      </c>
      <c r="I29">
        <f t="shared" si="10"/>
        <v>20.079714493443035</v>
      </c>
      <c r="J29">
        <f t="shared" si="10"/>
        <v>20.817047775548133</v>
      </c>
      <c r="K29">
        <f t="shared" si="10"/>
        <v>21.594366678541999</v>
      </c>
      <c r="L29">
        <f t="shared" si="10"/>
        <v>22.411671202424628</v>
      </c>
      <c r="M29">
        <f t="shared" si="10"/>
        <v>23.268961347196026</v>
      </c>
      <c r="N29">
        <f t="shared" si="10"/>
        <v>24.166237112856187</v>
      </c>
      <c r="O29">
        <f t="shared" si="10"/>
        <v>25.103498499405113</v>
      </c>
      <c r="P29">
        <f t="shared" si="10"/>
        <v>26.080745506842806</v>
      </c>
      <c r="Q29">
        <f t="shared" si="10"/>
        <v>27.09797813516926</v>
      </c>
      <c r="R29">
        <f t="shared" si="10"/>
        <v>28.155196384384482</v>
      </c>
      <c r="S29">
        <f t="shared" si="8"/>
        <v>29.252400254488471</v>
      </c>
      <c r="T29">
        <f t="shared" si="8"/>
        <v>30.389589745481224</v>
      </c>
      <c r="U29">
        <f t="shared" si="8"/>
        <v>31.566764857362738</v>
      </c>
      <c r="V29">
        <f t="shared" si="8"/>
        <v>32.783925590133023</v>
      </c>
      <c r="W29">
        <f t="shared" si="8"/>
        <v>34.041071943792062</v>
      </c>
      <c r="X29">
        <f t="shared" si="8"/>
        <v>35.338203918339872</v>
      </c>
      <c r="Y29">
        <f t="shared" si="8"/>
        <v>36.675321513776453</v>
      </c>
      <c r="Z29">
        <f t="shared" si="8"/>
        <v>38.052424730101791</v>
      </c>
      <c r="AA29">
        <f t="shared" si="8"/>
        <v>39.4695135673159</v>
      </c>
      <c r="AB29">
        <f t="shared" si="8"/>
        <v>40.926588025418773</v>
      </c>
      <c r="AC29">
        <f t="shared" si="9"/>
        <v>42.423648104410411</v>
      </c>
      <c r="AD29">
        <f t="shared" si="9"/>
        <v>43.960693804290813</v>
      </c>
      <c r="AE29">
        <f t="shared" si="9"/>
        <v>45.537725125059978</v>
      </c>
      <c r="AF29">
        <f t="shared" si="9"/>
        <v>47.154742066717908</v>
      </c>
      <c r="AG29">
        <f t="shared" si="9"/>
        <v>48.811744629264616</v>
      </c>
      <c r="AH29">
        <f t="shared" si="9"/>
        <v>50.508732812700075</v>
      </c>
      <c r="AI29">
        <f t="shared" si="9"/>
        <v>52.245706617024297</v>
      </c>
      <c r="AJ29">
        <f t="shared" si="9"/>
        <v>54.022666042237297</v>
      </c>
      <c r="AK29">
        <f t="shared" si="9"/>
        <v>55.839611088339048</v>
      </c>
      <c r="AL29">
        <f t="shared" si="9"/>
        <v>57.696541755329577</v>
      </c>
      <c r="AM29">
        <f t="shared" si="9"/>
        <v>59.593458043208869</v>
      </c>
      <c r="AN29">
        <f t="shared" si="9"/>
        <v>61.530359951976919</v>
      </c>
      <c r="AO29">
        <f t="shared" si="9"/>
        <v>63.507247481633733</v>
      </c>
      <c r="AP29">
        <f t="shared" si="9"/>
        <v>65.524120632179319</v>
      </c>
      <c r="AQ29">
        <f t="shared" si="9"/>
        <v>67.580979403613654</v>
      </c>
      <c r="AR29">
        <f t="shared" si="9"/>
        <v>69.677823795936746</v>
      </c>
      <c r="AS29">
        <f t="shared" si="7"/>
        <v>71.814653809148624</v>
      </c>
      <c r="AT29">
        <f t="shared" si="7"/>
        <v>73.991469443249258</v>
      </c>
      <c r="AU29">
        <f t="shared" si="7"/>
        <v>76.20827069823865</v>
      </c>
      <c r="AV29">
        <f t="shared" si="7"/>
        <v>78.465057574116813</v>
      </c>
      <c r="AW29">
        <f t="shared" si="7"/>
        <v>80.761830070883747</v>
      </c>
      <c r="AX29">
        <f t="shared" si="7"/>
        <v>83.098588188539424</v>
      </c>
      <c r="AY29">
        <f t="shared" si="7"/>
        <v>85.475331927083886</v>
      </c>
      <c r="AZ29">
        <f t="shared" si="7"/>
        <v>87.892061286517105</v>
      </c>
      <c r="BA29">
        <f t="shared" si="7"/>
        <v>90.348776266839096</v>
      </c>
    </row>
    <row r="30" spans="2:53" x14ac:dyDescent="0.45">
      <c r="B30">
        <f t="shared" si="3"/>
        <v>5.0000000000000018</v>
      </c>
      <c r="C30">
        <f t="shared" si="10"/>
        <v>17.475538174920082</v>
      </c>
      <c r="D30">
        <f t="shared" si="10"/>
        <v>17.991033022624912</v>
      </c>
      <c r="E30">
        <f t="shared" si="10"/>
        <v>18.546513491218512</v>
      </c>
      <c r="F30">
        <f t="shared" si="10"/>
        <v>19.14197958070087</v>
      </c>
      <c r="G30">
        <f t="shared" si="10"/>
        <v>19.777431291071998</v>
      </c>
      <c r="H30">
        <f t="shared" si="10"/>
        <v>20.452868622331888</v>
      </c>
      <c r="I30">
        <f t="shared" si="10"/>
        <v>21.168291574480545</v>
      </c>
      <c r="J30">
        <f t="shared" si="10"/>
        <v>21.923700147517962</v>
      </c>
      <c r="K30">
        <f t="shared" si="10"/>
        <v>22.719094341444148</v>
      </c>
      <c r="L30">
        <f t="shared" si="10"/>
        <v>23.554474156259101</v>
      </c>
      <c r="M30">
        <f t="shared" si="10"/>
        <v>24.429839591962818</v>
      </c>
      <c r="N30">
        <f t="shared" si="10"/>
        <v>25.345190648555295</v>
      </c>
      <c r="O30">
        <f t="shared" si="10"/>
        <v>26.300527326036544</v>
      </c>
      <c r="P30">
        <f t="shared" si="10"/>
        <v>27.295849624406561</v>
      </c>
      <c r="Q30">
        <f t="shared" si="10"/>
        <v>28.331157543665334</v>
      </c>
      <c r="R30">
        <f t="shared" si="10"/>
        <v>29.406451083812875</v>
      </c>
      <c r="S30">
        <f t="shared" si="8"/>
        <v>30.521730244849181</v>
      </c>
      <c r="T30">
        <f t="shared" si="8"/>
        <v>31.676995026774254</v>
      </c>
      <c r="U30">
        <f t="shared" si="8"/>
        <v>32.872245429588091</v>
      </c>
      <c r="V30">
        <f t="shared" si="8"/>
        <v>34.107481453290696</v>
      </c>
      <c r="W30">
        <f t="shared" si="8"/>
        <v>35.382703097882057</v>
      </c>
      <c r="X30">
        <f t="shared" si="8"/>
        <v>36.69791036336219</v>
      </c>
      <c r="Y30">
        <f t="shared" si="8"/>
        <v>38.053103249731087</v>
      </c>
      <c r="Z30">
        <f t="shared" si="8"/>
        <v>39.448281756988749</v>
      </c>
      <c r="AA30">
        <f t="shared" si="8"/>
        <v>40.883445885135174</v>
      </c>
      <c r="AB30">
        <f t="shared" si="8"/>
        <v>42.358595634170371</v>
      </c>
      <c r="AC30">
        <f t="shared" si="9"/>
        <v>43.873731004094324</v>
      </c>
      <c r="AD30">
        <f t="shared" si="9"/>
        <v>45.428851994907042</v>
      </c>
      <c r="AE30">
        <f t="shared" si="9"/>
        <v>47.023958606608531</v>
      </c>
      <c r="AF30">
        <f t="shared" si="9"/>
        <v>48.659050839198784</v>
      </c>
      <c r="AG30">
        <f t="shared" si="9"/>
        <v>50.334128692677808</v>
      </c>
      <c r="AH30">
        <f t="shared" si="9"/>
        <v>52.049192167045589</v>
      </c>
      <c r="AI30">
        <f t="shared" si="9"/>
        <v>53.804241262302135</v>
      </c>
      <c r="AJ30">
        <f t="shared" si="9"/>
        <v>55.599275978447452</v>
      </c>
      <c r="AK30">
        <f t="shared" si="9"/>
        <v>57.434296315481525</v>
      </c>
      <c r="AL30">
        <f t="shared" si="9"/>
        <v>59.309302273404363</v>
      </c>
      <c r="AM30">
        <f t="shared" si="9"/>
        <v>61.224293852215972</v>
      </c>
      <c r="AN30">
        <f t="shared" si="9"/>
        <v>63.179271051916345</v>
      </c>
      <c r="AO30">
        <f t="shared" si="9"/>
        <v>65.174233872505482</v>
      </c>
      <c r="AP30">
        <f t="shared" si="9"/>
        <v>67.209182313983391</v>
      </c>
      <c r="AQ30">
        <f t="shared" si="9"/>
        <v>69.284116376350056</v>
      </c>
      <c r="AR30">
        <f t="shared" si="9"/>
        <v>71.399036059605464</v>
      </c>
      <c r="AS30">
        <f t="shared" si="7"/>
        <v>73.553941363749658</v>
      </c>
      <c r="AT30">
        <f t="shared" si="7"/>
        <v>75.748832288782609</v>
      </c>
      <c r="AU30">
        <f t="shared" si="7"/>
        <v>77.983708834704316</v>
      </c>
      <c r="AV30">
        <f t="shared" si="7"/>
        <v>80.258571001514809</v>
      </c>
      <c r="AW30">
        <f t="shared" si="7"/>
        <v>82.57341878921406</v>
      </c>
      <c r="AX30">
        <f t="shared" si="7"/>
        <v>84.928252197802067</v>
      </c>
      <c r="AY30">
        <f t="shared" si="7"/>
        <v>87.323071227278831</v>
      </c>
      <c r="AZ30">
        <f t="shared" si="7"/>
        <v>89.757875877644381</v>
      </c>
      <c r="BA30">
        <f t="shared" si="7"/>
        <v>92.232666148898687</v>
      </c>
    </row>
    <row r="31" spans="2:53" x14ac:dyDescent="0.45">
      <c r="B31">
        <f t="shared" si="3"/>
        <v>5.200000000000002</v>
      </c>
      <c r="C31">
        <f t="shared" si="10"/>
        <v>18.491125140896777</v>
      </c>
      <c r="D31">
        <f t="shared" si="10"/>
        <v>19.024695279533926</v>
      </c>
      <c r="E31">
        <f t="shared" si="10"/>
        <v>19.598251039059839</v>
      </c>
      <c r="F31">
        <f t="shared" si="10"/>
        <v>20.211792419474527</v>
      </c>
      <c r="G31">
        <f t="shared" si="10"/>
        <v>20.865319420777972</v>
      </c>
      <c r="H31">
        <f t="shared" si="10"/>
        <v>21.558832042970181</v>
      </c>
      <c r="I31">
        <f t="shared" si="10"/>
        <v>22.292330286051158</v>
      </c>
      <c r="J31">
        <f t="shared" si="10"/>
        <v>23.065814150020898</v>
      </c>
      <c r="K31">
        <f t="shared" si="10"/>
        <v>23.879283634879403</v>
      </c>
      <c r="L31">
        <f t="shared" si="10"/>
        <v>24.732738740626672</v>
      </c>
      <c r="M31">
        <f t="shared" si="10"/>
        <v>25.626179467262709</v>
      </c>
      <c r="N31">
        <f t="shared" si="10"/>
        <v>26.559605814787513</v>
      </c>
      <c r="O31">
        <f t="shared" si="10"/>
        <v>27.533017783201075</v>
      </c>
      <c r="P31">
        <f t="shared" si="10"/>
        <v>28.546415372503407</v>
      </c>
      <c r="Q31">
        <f t="shared" si="10"/>
        <v>29.599798582694504</v>
      </c>
      <c r="R31">
        <f t="shared" si="10"/>
        <v>30.693167413774368</v>
      </c>
      <c r="S31">
        <f t="shared" si="8"/>
        <v>31.826521865742993</v>
      </c>
      <c r="T31">
        <f t="shared" si="8"/>
        <v>32.99986193860039</v>
      </c>
      <c r="U31">
        <f t="shared" si="8"/>
        <v>34.213187632346546</v>
      </c>
      <c r="V31">
        <f t="shared" si="8"/>
        <v>35.466498946981467</v>
      </c>
      <c r="W31">
        <f t="shared" si="8"/>
        <v>36.759795882505152</v>
      </c>
      <c r="X31">
        <f t="shared" si="8"/>
        <v>38.093078438917608</v>
      </c>
      <c r="Y31">
        <f t="shared" si="8"/>
        <v>39.466346616218821</v>
      </c>
      <c r="Z31">
        <f t="shared" si="8"/>
        <v>40.879600414408806</v>
      </c>
      <c r="AA31">
        <f t="shared" si="8"/>
        <v>42.332839833487554</v>
      </c>
      <c r="AB31">
        <f t="shared" si="8"/>
        <v>43.82606487345506</v>
      </c>
      <c r="AC31">
        <f t="shared" si="9"/>
        <v>45.359275534311344</v>
      </c>
      <c r="AD31">
        <f t="shared" si="9"/>
        <v>46.932471816056378</v>
      </c>
      <c r="AE31">
        <f t="shared" si="9"/>
        <v>48.54565371869019</v>
      </c>
      <c r="AF31">
        <f t="shared" si="9"/>
        <v>50.198821242212766</v>
      </c>
      <c r="AG31">
        <f t="shared" si="9"/>
        <v>51.891974386624099</v>
      </c>
      <c r="AH31">
        <f t="shared" si="9"/>
        <v>53.625113151924197</v>
      </c>
      <c r="AI31">
        <f t="shared" si="9"/>
        <v>55.398237538113072</v>
      </c>
      <c r="AJ31">
        <f t="shared" si="9"/>
        <v>57.211347545190705</v>
      </c>
      <c r="AK31">
        <f t="shared" si="9"/>
        <v>59.064443173157102</v>
      </c>
      <c r="AL31">
        <f t="shared" si="9"/>
        <v>60.957524422012263</v>
      </c>
      <c r="AM31">
        <f t="shared" si="9"/>
        <v>62.890591291756195</v>
      </c>
      <c r="AN31">
        <f t="shared" si="9"/>
        <v>64.863643782388891</v>
      </c>
      <c r="AO31">
        <f t="shared" si="9"/>
        <v>66.876681893910344</v>
      </c>
      <c r="AP31">
        <f t="shared" si="9"/>
        <v>68.929705626320569</v>
      </c>
      <c r="AQ31">
        <f t="shared" si="9"/>
        <v>71.022714979619536</v>
      </c>
      <c r="AR31">
        <f t="shared" si="9"/>
        <v>73.155709953807289</v>
      </c>
      <c r="AS31">
        <f t="shared" si="7"/>
        <v>75.328690548883799</v>
      </c>
      <c r="AT31">
        <f t="shared" si="7"/>
        <v>77.541656764849066</v>
      </c>
      <c r="AU31">
        <f t="shared" si="7"/>
        <v>79.794608601703104</v>
      </c>
      <c r="AV31">
        <f t="shared" si="7"/>
        <v>82.087546059445899</v>
      </c>
      <c r="AW31">
        <f t="shared" si="7"/>
        <v>84.420469138077465</v>
      </c>
      <c r="AX31">
        <f t="shared" si="7"/>
        <v>86.793377837597802</v>
      </c>
      <c r="AY31">
        <f t="shared" si="7"/>
        <v>89.206272158006897</v>
      </c>
      <c r="AZ31">
        <f t="shared" si="7"/>
        <v>91.659152099304762</v>
      </c>
      <c r="BA31">
        <f t="shared" si="7"/>
        <v>94.152017661491385</v>
      </c>
    </row>
    <row r="32" spans="2:53" x14ac:dyDescent="0.45">
      <c r="B32">
        <f t="shared" si="3"/>
        <v>5.4000000000000021</v>
      </c>
      <c r="C32">
        <f t="shared" si="10"/>
        <v>19.542173737406564</v>
      </c>
      <c r="D32">
        <f t="shared" si="10"/>
        <v>20.093819166976036</v>
      </c>
      <c r="E32">
        <f t="shared" si="10"/>
        <v>20.685450217434276</v>
      </c>
      <c r="F32">
        <f t="shared" si="10"/>
        <v>21.317066888781273</v>
      </c>
      <c r="G32">
        <f t="shared" si="10"/>
        <v>21.988669181017041</v>
      </c>
      <c r="H32">
        <f t="shared" si="10"/>
        <v>22.70025709414157</v>
      </c>
      <c r="I32">
        <f t="shared" si="10"/>
        <v>23.45183062815487</v>
      </c>
      <c r="J32">
        <f t="shared" si="10"/>
        <v>24.24338978305693</v>
      </c>
      <c r="K32">
        <f t="shared" si="10"/>
        <v>25.074934558847755</v>
      </c>
      <c r="L32">
        <f t="shared" si="10"/>
        <v>25.946464955527347</v>
      </c>
      <c r="M32">
        <f t="shared" si="10"/>
        <v>26.857980973095703</v>
      </c>
      <c r="N32">
        <f t="shared" si="10"/>
        <v>27.809482611552824</v>
      </c>
      <c r="O32">
        <f t="shared" si="10"/>
        <v>28.800969870898712</v>
      </c>
      <c r="P32">
        <f t="shared" si="10"/>
        <v>29.832442751133364</v>
      </c>
      <c r="Q32">
        <f t="shared" si="10"/>
        <v>30.903901252256777</v>
      </c>
      <c r="R32">
        <f t="shared" si="10"/>
        <v>32.015345374268961</v>
      </c>
      <c r="S32">
        <f t="shared" si="8"/>
        <v>33.166775117169912</v>
      </c>
      <c r="T32">
        <f t="shared" si="8"/>
        <v>34.358190480959621</v>
      </c>
      <c r="U32">
        <f t="shared" si="8"/>
        <v>35.589591465638094</v>
      </c>
      <c r="V32">
        <f t="shared" si="8"/>
        <v>36.860978071205338</v>
      </c>
      <c r="W32">
        <f t="shared" si="8"/>
        <v>38.172350297661346</v>
      </c>
      <c r="X32">
        <f t="shared" si="8"/>
        <v>39.523708145006111</v>
      </c>
      <c r="Y32">
        <f t="shared" si="8"/>
        <v>40.915051613239655</v>
      </c>
      <c r="Z32">
        <f t="shared" si="8"/>
        <v>42.346380702361955</v>
      </c>
      <c r="AA32">
        <f t="shared" si="8"/>
        <v>43.817695412373027</v>
      </c>
      <c r="AB32">
        <f t="shared" si="8"/>
        <v>45.328995743272849</v>
      </c>
      <c r="AC32">
        <f t="shared" si="9"/>
        <v>46.880281695061456</v>
      </c>
      <c r="AD32">
        <f t="shared" si="9"/>
        <v>48.471553267738813</v>
      </c>
      <c r="AE32">
        <f t="shared" si="9"/>
        <v>50.102810461304941</v>
      </c>
      <c r="AF32">
        <f t="shared" si="9"/>
        <v>51.774053275759833</v>
      </c>
      <c r="AG32">
        <f t="shared" si="9"/>
        <v>53.485281711103497</v>
      </c>
      <c r="AH32">
        <f t="shared" si="9"/>
        <v>55.236495767335917</v>
      </c>
      <c r="AI32">
        <f t="shared" si="9"/>
        <v>57.027695444457102</v>
      </c>
      <c r="AJ32">
        <f t="shared" si="9"/>
        <v>58.858880742467058</v>
      </c>
      <c r="AK32">
        <f t="shared" si="9"/>
        <v>60.730051661365778</v>
      </c>
      <c r="AL32">
        <f t="shared" si="9"/>
        <v>62.641208201153262</v>
      </c>
      <c r="AM32">
        <f t="shared" si="9"/>
        <v>64.592350361829503</v>
      </c>
      <c r="AN32">
        <f t="shared" si="9"/>
        <v>66.583478143394515</v>
      </c>
      <c r="AO32">
        <f t="shared" si="9"/>
        <v>68.614591545848299</v>
      </c>
      <c r="AP32">
        <f t="shared" si="9"/>
        <v>70.685690569190839</v>
      </c>
      <c r="AQ32">
        <f t="shared" si="9"/>
        <v>72.796775213422137</v>
      </c>
      <c r="AR32">
        <f t="shared" si="9"/>
        <v>74.947845478542206</v>
      </c>
      <c r="AS32">
        <f t="shared" si="7"/>
        <v>77.138901364551032</v>
      </c>
      <c r="AT32">
        <f t="shared" si="7"/>
        <v>79.369942871448615</v>
      </c>
      <c r="AU32">
        <f t="shared" si="7"/>
        <v>81.640969999234969</v>
      </c>
      <c r="AV32">
        <f t="shared" si="7"/>
        <v>83.951982747910108</v>
      </c>
      <c r="AW32">
        <f t="shared" si="7"/>
        <v>86.302981117473976</v>
      </c>
      <c r="AX32">
        <f t="shared" si="7"/>
        <v>88.693965107926644</v>
      </c>
      <c r="AY32">
        <f t="shared" si="7"/>
        <v>91.12493471926804</v>
      </c>
      <c r="AZ32">
        <f t="shared" si="7"/>
        <v>93.595889951498236</v>
      </c>
      <c r="BA32">
        <f t="shared" si="7"/>
        <v>96.106830804617175</v>
      </c>
    </row>
    <row r="33" spans="2:53" x14ac:dyDescent="0.45">
      <c r="B33">
        <f t="shared" si="3"/>
        <v>5.6000000000000023</v>
      </c>
      <c r="C33">
        <f t="shared" si="10"/>
        <v>20.628683964449458</v>
      </c>
      <c r="D33">
        <f t="shared" si="10"/>
        <v>21.198404684951246</v>
      </c>
      <c r="E33">
        <f t="shared" si="10"/>
        <v>21.808111026341809</v>
      </c>
      <c r="F33">
        <f t="shared" si="10"/>
        <v>22.457802988621125</v>
      </c>
      <c r="G33">
        <f t="shared" si="10"/>
        <v>23.147480571789217</v>
      </c>
      <c r="H33">
        <f t="shared" si="10"/>
        <v>23.877143775846065</v>
      </c>
      <c r="I33">
        <f t="shared" si="10"/>
        <v>24.646792600791677</v>
      </c>
      <c r="J33">
        <f t="shared" si="10"/>
        <v>25.456427046626061</v>
      </c>
      <c r="K33">
        <f t="shared" si="10"/>
        <v>26.306047113349205</v>
      </c>
      <c r="L33">
        <f t="shared" si="10"/>
        <v>27.19565280096112</v>
      </c>
      <c r="M33">
        <f t="shared" si="10"/>
        <v>28.125244109461796</v>
      </c>
      <c r="N33">
        <f t="shared" si="10"/>
        <v>29.094821038851236</v>
      </c>
      <c r="O33">
        <f t="shared" si="10"/>
        <v>30.104383589129444</v>
      </c>
      <c r="P33">
        <f t="shared" si="10"/>
        <v>31.153931760296416</v>
      </c>
      <c r="Q33">
        <f t="shared" si="10"/>
        <v>32.243465552352149</v>
      </c>
      <c r="R33">
        <f t="shared" si="10"/>
        <v>33.372984965296652</v>
      </c>
      <c r="S33">
        <f t="shared" si="8"/>
        <v>34.54248999912992</v>
      </c>
      <c r="T33">
        <f t="shared" si="8"/>
        <v>35.751980653851952</v>
      </c>
      <c r="U33">
        <f t="shared" si="8"/>
        <v>37.001456929462748</v>
      </c>
      <c r="V33">
        <f t="shared" si="8"/>
        <v>38.290918825962315</v>
      </c>
      <c r="W33">
        <f t="shared" si="8"/>
        <v>39.620366343350639</v>
      </c>
      <c r="X33">
        <f t="shared" si="8"/>
        <v>40.989799481627728</v>
      </c>
      <c r="Y33">
        <f t="shared" si="8"/>
        <v>42.399218240793587</v>
      </c>
      <c r="Z33">
        <f t="shared" si="8"/>
        <v>43.848622620848211</v>
      </c>
      <c r="AA33">
        <f t="shared" si="8"/>
        <v>45.338012621791606</v>
      </c>
      <c r="AB33">
        <f t="shared" si="8"/>
        <v>46.867388243623751</v>
      </c>
      <c r="AC33">
        <f t="shared" si="9"/>
        <v>48.436749486344659</v>
      </c>
      <c r="AD33">
        <f t="shared" si="9"/>
        <v>50.046096349954347</v>
      </c>
      <c r="AE33">
        <f t="shared" si="9"/>
        <v>51.695428834452798</v>
      </c>
      <c r="AF33">
        <f t="shared" si="9"/>
        <v>53.384746939839999</v>
      </c>
      <c r="AG33">
        <f t="shared" si="9"/>
        <v>55.114050666115986</v>
      </c>
      <c r="AH33">
        <f t="shared" si="9"/>
        <v>56.88334001328073</v>
      </c>
      <c r="AI33">
        <f t="shared" si="9"/>
        <v>58.692614981334238</v>
      </c>
      <c r="AJ33">
        <f t="shared" si="9"/>
        <v>60.541875570276517</v>
      </c>
      <c r="AK33">
        <f t="shared" si="9"/>
        <v>62.431121780107546</v>
      </c>
      <c r="AL33">
        <f t="shared" si="9"/>
        <v>64.36035361082736</v>
      </c>
      <c r="AM33">
        <f t="shared" si="9"/>
        <v>66.329571062435917</v>
      </c>
      <c r="AN33">
        <f t="shared" si="9"/>
        <v>68.33877413493326</v>
      </c>
      <c r="AO33">
        <f t="shared" si="9"/>
        <v>70.387962828319345</v>
      </c>
      <c r="AP33">
        <f t="shared" si="9"/>
        <v>72.477137142594216</v>
      </c>
      <c r="AQ33">
        <f t="shared" si="9"/>
        <v>74.60629707775783</v>
      </c>
      <c r="AR33">
        <f t="shared" si="9"/>
        <v>76.775442633810201</v>
      </c>
      <c r="AS33">
        <f t="shared" si="7"/>
        <v>78.984573810751357</v>
      </c>
      <c r="AT33">
        <f t="shared" si="7"/>
        <v>81.23369060858127</v>
      </c>
      <c r="AU33">
        <f t="shared" si="7"/>
        <v>83.522793027299954</v>
      </c>
      <c r="AV33">
        <f t="shared" si="7"/>
        <v>85.851881066907396</v>
      </c>
      <c r="AW33">
        <f t="shared" si="7"/>
        <v>88.220954727403594</v>
      </c>
      <c r="AX33">
        <f t="shared" si="7"/>
        <v>90.630014008788564</v>
      </c>
      <c r="AY33">
        <f t="shared" si="7"/>
        <v>93.079058911062305</v>
      </c>
      <c r="AZ33">
        <f t="shared" si="7"/>
        <v>95.568089434224802</v>
      </c>
      <c r="BA33">
        <f t="shared" si="7"/>
        <v>98.097105578276071</v>
      </c>
    </row>
    <row r="34" spans="2:53" x14ac:dyDescent="0.45">
      <c r="B34">
        <f t="shared" si="3"/>
        <v>5.8000000000000025</v>
      </c>
      <c r="C34">
        <f t="shared" si="10"/>
        <v>21.75065582202545</v>
      </c>
      <c r="D34">
        <f t="shared" si="10"/>
        <v>22.338451833459562</v>
      </c>
      <c r="E34">
        <f t="shared" si="10"/>
        <v>22.966233465782441</v>
      </c>
      <c r="F34">
        <f t="shared" si="10"/>
        <v>23.634000718994081</v>
      </c>
      <c r="G34">
        <f t="shared" si="10"/>
        <v>24.341753593094488</v>
      </c>
      <c r="H34">
        <f t="shared" si="10"/>
        <v>25.089492088083659</v>
      </c>
      <c r="I34">
        <f t="shared" si="10"/>
        <v>25.877216203961595</v>
      </c>
      <c r="J34">
        <f t="shared" si="10"/>
        <v>26.704925940728295</v>
      </c>
      <c r="K34">
        <f t="shared" si="10"/>
        <v>27.572621298383758</v>
      </c>
      <c r="L34">
        <f t="shared" si="10"/>
        <v>28.480302276927993</v>
      </c>
      <c r="M34">
        <f t="shared" si="10"/>
        <v>29.427968876360989</v>
      </c>
      <c r="N34">
        <f t="shared" si="10"/>
        <v>30.415621096682749</v>
      </c>
      <c r="O34">
        <f t="shared" si="10"/>
        <v>31.443258937893276</v>
      </c>
      <c r="P34">
        <f t="shared" si="10"/>
        <v>32.510882399992575</v>
      </c>
      <c r="Q34">
        <f t="shared" si="10"/>
        <v>33.618491482980623</v>
      </c>
      <c r="R34">
        <f t="shared" si="10"/>
        <v>34.76608618685745</v>
      </c>
      <c r="S34">
        <f t="shared" si="8"/>
        <v>35.953666511623041</v>
      </c>
      <c r="T34">
        <f t="shared" si="8"/>
        <v>37.181232457277389</v>
      </c>
      <c r="U34">
        <f t="shared" si="8"/>
        <v>38.448784023820501</v>
      </c>
      <c r="V34">
        <f t="shared" si="8"/>
        <v>39.756321211252391</v>
      </c>
      <c r="W34">
        <f t="shared" si="8"/>
        <v>41.103844019573032</v>
      </c>
      <c r="X34">
        <f t="shared" si="8"/>
        <v>42.491352448782443</v>
      </c>
      <c r="Y34">
        <f t="shared" si="8"/>
        <v>43.918846498880626</v>
      </c>
      <c r="Z34">
        <f t="shared" si="8"/>
        <v>45.386326169867566</v>
      </c>
      <c r="AA34">
        <f t="shared" si="8"/>
        <v>46.89379146174327</v>
      </c>
      <c r="AB34">
        <f t="shared" si="8"/>
        <v>48.441242374507738</v>
      </c>
      <c r="AC34">
        <f t="shared" si="9"/>
        <v>50.028678908160984</v>
      </c>
      <c r="AD34">
        <f t="shared" si="9"/>
        <v>51.65610106270298</v>
      </c>
      <c r="AE34">
        <f t="shared" si="9"/>
        <v>53.323508838133748</v>
      </c>
      <c r="AF34">
        <f t="shared" si="9"/>
        <v>55.030902234453286</v>
      </c>
      <c r="AG34">
        <f t="shared" si="9"/>
        <v>56.778281251661582</v>
      </c>
      <c r="AH34">
        <f t="shared" si="9"/>
        <v>58.565645889758642</v>
      </c>
      <c r="AI34">
        <f t="shared" si="9"/>
        <v>60.392996148744473</v>
      </c>
      <c r="AJ34">
        <f t="shared" si="9"/>
        <v>62.260332028619075</v>
      </c>
      <c r="AK34">
        <f t="shared" si="9"/>
        <v>64.16765352938242</v>
      </c>
      <c r="AL34">
        <f t="shared" si="9"/>
        <v>66.114960651034551</v>
      </c>
      <c r="AM34">
        <f t="shared" si="9"/>
        <v>68.102253393575438</v>
      </c>
      <c r="AN34">
        <f t="shared" si="9"/>
        <v>70.129531757005083</v>
      </c>
      <c r="AO34">
        <f t="shared" si="9"/>
        <v>72.196795741323513</v>
      </c>
      <c r="AP34">
        <f t="shared" si="9"/>
        <v>74.3040453465307</v>
      </c>
      <c r="AQ34">
        <f t="shared" si="9"/>
        <v>76.451280572626629</v>
      </c>
      <c r="AR34">
        <f t="shared" si="9"/>
        <v>78.638501419611345</v>
      </c>
      <c r="AS34">
        <f t="shared" si="7"/>
        <v>80.865707887484803</v>
      </c>
      <c r="AT34">
        <f t="shared" si="7"/>
        <v>83.132899976247032</v>
      </c>
      <c r="AU34">
        <f t="shared" si="7"/>
        <v>85.440077685898018</v>
      </c>
      <c r="AV34">
        <f t="shared" si="7"/>
        <v>87.78724101643779</v>
      </c>
      <c r="AW34">
        <f t="shared" si="7"/>
        <v>90.174389967866304</v>
      </c>
      <c r="AX34">
        <f t="shared" si="7"/>
        <v>92.601524540183604</v>
      </c>
      <c r="AY34">
        <f t="shared" si="7"/>
        <v>95.068644733389661</v>
      </c>
      <c r="AZ34">
        <f t="shared" si="7"/>
        <v>97.575750547484475</v>
      </c>
      <c r="BA34">
        <f t="shared" si="7"/>
        <v>100.12284198246806</v>
      </c>
    </row>
    <row r="35" spans="2:53" x14ac:dyDescent="0.45">
      <c r="B35">
        <f t="shared" si="3"/>
        <v>6.0000000000000027</v>
      </c>
      <c r="C35">
        <f t="shared" si="10"/>
        <v>22.908089310134542</v>
      </c>
      <c r="D35">
        <f t="shared" si="10"/>
        <v>23.513960612500973</v>
      </c>
      <c r="E35">
        <f t="shared" si="10"/>
        <v>24.159817535756169</v>
      </c>
      <c r="F35">
        <f t="shared" si="10"/>
        <v>24.845660079900131</v>
      </c>
      <c r="G35">
        <f t="shared" si="10"/>
        <v>25.571488244932862</v>
      </c>
      <c r="H35">
        <f t="shared" si="10"/>
        <v>26.337302030854346</v>
      </c>
      <c r="I35">
        <f t="shared" si="10"/>
        <v>27.143101437664605</v>
      </c>
      <c r="J35">
        <f t="shared" si="10"/>
        <v>27.988886465363628</v>
      </c>
      <c r="K35">
        <f t="shared" si="10"/>
        <v>28.874657113951411</v>
      </c>
      <c r="L35">
        <f t="shared" si="10"/>
        <v>29.800413383427962</v>
      </c>
      <c r="M35">
        <f t="shared" si="10"/>
        <v>30.766155273793281</v>
      </c>
      <c r="N35">
        <f t="shared" si="10"/>
        <v>31.77188278504736</v>
      </c>
      <c r="O35">
        <f t="shared" si="10"/>
        <v>32.817595917190211</v>
      </c>
      <c r="P35">
        <f t="shared" si="10"/>
        <v>33.903294670221818</v>
      </c>
      <c r="Q35">
        <f t="shared" si="10"/>
        <v>35.028979044142197</v>
      </c>
      <c r="R35">
        <f t="shared" si="10"/>
        <v>36.19464903895134</v>
      </c>
      <c r="S35">
        <f t="shared" si="8"/>
        <v>37.400304654649247</v>
      </c>
      <c r="T35">
        <f t="shared" si="8"/>
        <v>38.645945891235925</v>
      </c>
      <c r="U35">
        <f t="shared" si="8"/>
        <v>39.931572748711361</v>
      </c>
      <c r="V35">
        <f t="shared" si="8"/>
        <v>41.25718522707556</v>
      </c>
      <c r="W35">
        <f t="shared" si="8"/>
        <v>42.622783326328523</v>
      </c>
      <c r="X35">
        <f t="shared" si="8"/>
        <v>44.028367046470258</v>
      </c>
      <c r="Y35">
        <f t="shared" si="8"/>
        <v>45.473936387500757</v>
      </c>
      <c r="Z35">
        <f t="shared" si="8"/>
        <v>46.95949134942002</v>
      </c>
      <c r="AA35">
        <f t="shared" si="8"/>
        <v>48.485031932228047</v>
      </c>
      <c r="AB35">
        <f t="shared" si="8"/>
        <v>50.050558135924831</v>
      </c>
      <c r="AC35">
        <f t="shared" si="9"/>
        <v>51.656069960510393</v>
      </c>
      <c r="AD35">
        <f t="shared" si="9"/>
        <v>53.301567405984713</v>
      </c>
      <c r="AE35">
        <f t="shared" si="9"/>
        <v>54.987050472347804</v>
      </c>
      <c r="AF35">
        <f t="shared" si="9"/>
        <v>56.712519159599658</v>
      </c>
      <c r="AG35">
        <f t="shared" si="9"/>
        <v>58.477973467740277</v>
      </c>
      <c r="AH35">
        <f t="shared" si="9"/>
        <v>60.28341339676966</v>
      </c>
      <c r="AI35">
        <f t="shared" si="9"/>
        <v>62.128838946687807</v>
      </c>
      <c r="AJ35">
        <f t="shared" si="9"/>
        <v>64.014250117494726</v>
      </c>
      <c r="AK35">
        <f t="shared" si="9"/>
        <v>65.939646909190401</v>
      </c>
      <c r="AL35">
        <f t="shared" si="9"/>
        <v>67.905029321774833</v>
      </c>
      <c r="AM35">
        <f t="shared" si="9"/>
        <v>69.910397355248051</v>
      </c>
      <c r="AN35">
        <f t="shared" si="9"/>
        <v>71.955751009610026</v>
      </c>
      <c r="AO35">
        <f t="shared" si="9"/>
        <v>74.041090284860758</v>
      </c>
      <c r="AP35">
        <f t="shared" si="9"/>
        <v>76.166415181000261</v>
      </c>
      <c r="AQ35">
        <f t="shared" si="9"/>
        <v>78.331725698028521</v>
      </c>
      <c r="AR35">
        <f t="shared" si="9"/>
        <v>80.537021835945552</v>
      </c>
      <c r="AS35">
        <f t="shared" si="7"/>
        <v>82.78230359475134</v>
      </c>
      <c r="AT35">
        <f t="shared" si="7"/>
        <v>85.067570974445886</v>
      </c>
      <c r="AU35">
        <f t="shared" si="7"/>
        <v>87.392823975029202</v>
      </c>
      <c r="AV35">
        <f t="shared" si="7"/>
        <v>89.75806259650129</v>
      </c>
      <c r="AW35">
        <f t="shared" si="7"/>
        <v>92.163286838862135</v>
      </c>
      <c r="AX35">
        <f t="shared" si="7"/>
        <v>94.608496702111736</v>
      </c>
      <c r="AY35">
        <f t="shared" si="7"/>
        <v>97.093692186250109</v>
      </c>
      <c r="AZ35">
        <f t="shared" si="7"/>
        <v>99.618873291277268</v>
      </c>
      <c r="BA35">
        <f t="shared" si="7"/>
        <v>102.18404001719315</v>
      </c>
    </row>
    <row r="36" spans="2:53" x14ac:dyDescent="0.45">
      <c r="B36">
        <f t="shared" si="3"/>
        <v>6.2000000000000028</v>
      </c>
      <c r="C36">
        <f t="shared" si="10"/>
        <v>24.100984428776734</v>
      </c>
      <c r="D36">
        <f t="shared" si="10"/>
        <v>24.724931022075484</v>
      </c>
      <c r="E36">
        <f t="shared" si="10"/>
        <v>25.388863236263003</v>
      </c>
      <c r="F36">
        <f t="shared" si="10"/>
        <v>26.092781071339282</v>
      </c>
      <c r="G36">
        <f t="shared" si="10"/>
        <v>26.836684527304332</v>
      </c>
      <c r="H36">
        <f t="shared" si="10"/>
        <v>27.620573604158142</v>
      </c>
      <c r="I36">
        <f t="shared" si="10"/>
        <v>28.444448301900717</v>
      </c>
      <c r="J36">
        <f t="shared" si="10"/>
        <v>29.30830862053206</v>
      </c>
      <c r="K36">
        <f t="shared" si="10"/>
        <v>30.212154560052163</v>
      </c>
      <c r="L36">
        <f t="shared" si="10"/>
        <v>31.155986120461037</v>
      </c>
      <c r="M36">
        <f t="shared" si="10"/>
        <v>32.139803301758676</v>
      </c>
      <c r="N36">
        <f t="shared" si="10"/>
        <v>33.163606103945071</v>
      </c>
      <c r="O36">
        <f t="shared" si="10"/>
        <v>34.227394527020245</v>
      </c>
      <c r="P36">
        <f t="shared" si="10"/>
        <v>35.331168570984175</v>
      </c>
      <c r="Q36">
        <f t="shared" si="10"/>
        <v>36.47492823583687</v>
      </c>
      <c r="R36">
        <f t="shared" si="10"/>
        <v>37.658673521578336</v>
      </c>
      <c r="S36">
        <f t="shared" si="8"/>
        <v>38.882404428208559</v>
      </c>
      <c r="T36">
        <f t="shared" si="8"/>
        <v>40.146120955727554</v>
      </c>
      <c r="U36">
        <f t="shared" si="8"/>
        <v>41.449823104135305</v>
      </c>
      <c r="V36">
        <f t="shared" si="8"/>
        <v>42.793510873431835</v>
      </c>
      <c r="W36">
        <f t="shared" si="8"/>
        <v>44.177184263617114</v>
      </c>
      <c r="X36">
        <f t="shared" si="8"/>
        <v>45.600843274691172</v>
      </c>
      <c r="Y36">
        <f t="shared" si="8"/>
        <v>47.064487906653987</v>
      </c>
      <c r="Z36">
        <f t="shared" si="8"/>
        <v>48.568118159505573</v>
      </c>
      <c r="AA36">
        <f t="shared" si="8"/>
        <v>50.111734033245916</v>
      </c>
      <c r="AB36">
        <f t="shared" si="8"/>
        <v>51.695335527875031</v>
      </c>
      <c r="AC36">
        <f t="shared" si="9"/>
        <v>53.318922643392909</v>
      </c>
      <c r="AD36">
        <f t="shared" si="9"/>
        <v>54.982495379799552</v>
      </c>
      <c r="AE36">
        <f t="shared" si="9"/>
        <v>56.686053737094959</v>
      </c>
      <c r="AF36">
        <f t="shared" si="9"/>
        <v>58.429597715279129</v>
      </c>
      <c r="AG36">
        <f t="shared" si="9"/>
        <v>60.213127314352072</v>
      </c>
      <c r="AH36">
        <f t="shared" si="9"/>
        <v>62.036642534313771</v>
      </c>
      <c r="AI36">
        <f t="shared" si="9"/>
        <v>63.900143375164241</v>
      </c>
      <c r="AJ36">
        <f t="shared" si="9"/>
        <v>65.803629836903482</v>
      </c>
      <c r="AK36">
        <f t="shared" si="9"/>
        <v>67.747101919531474</v>
      </c>
      <c r="AL36">
        <f t="shared" si="9"/>
        <v>69.730559623048237</v>
      </c>
      <c r="AM36">
        <f t="shared" si="9"/>
        <v>71.754002947453756</v>
      </c>
      <c r="AN36">
        <f t="shared" si="9"/>
        <v>73.817431892748061</v>
      </c>
      <c r="AO36">
        <f t="shared" si="9"/>
        <v>75.920846458931123</v>
      </c>
      <c r="AP36">
        <f t="shared" si="9"/>
        <v>78.064246646002942</v>
      </c>
      <c r="AQ36">
        <f t="shared" si="9"/>
        <v>80.247632453963519</v>
      </c>
      <c r="AR36">
        <f t="shared" si="9"/>
        <v>82.471003882812866</v>
      </c>
      <c r="AS36">
        <f t="shared" si="7"/>
        <v>84.73436093255097</v>
      </c>
      <c r="AT36">
        <f t="shared" si="7"/>
        <v>87.037703603177832</v>
      </c>
      <c r="AU36">
        <f t="shared" si="7"/>
        <v>89.381031894693479</v>
      </c>
      <c r="AV36">
        <f t="shared" si="7"/>
        <v>91.764345807097868</v>
      </c>
      <c r="AW36">
        <f t="shared" si="7"/>
        <v>94.187645340391043</v>
      </c>
      <c r="AX36">
        <f t="shared" si="7"/>
        <v>96.650930494572975</v>
      </c>
      <c r="AY36">
        <f t="shared" si="7"/>
        <v>99.154201269643664</v>
      </c>
      <c r="AZ36">
        <f t="shared" si="7"/>
        <v>101.69745766560314</v>
      </c>
      <c r="BA36">
        <f t="shared" si="7"/>
        <v>104.28069968245136</v>
      </c>
    </row>
    <row r="37" spans="2:53" x14ac:dyDescent="0.45">
      <c r="B37">
        <f t="shared" si="3"/>
        <v>6.400000000000003</v>
      </c>
      <c r="C37">
        <f t="shared" si="10"/>
        <v>25.329341177952024</v>
      </c>
      <c r="D37">
        <f t="shared" si="10"/>
        <v>25.971363062183098</v>
      </c>
      <c r="E37">
        <f t="shared" si="10"/>
        <v>26.653370567302936</v>
      </c>
      <c r="F37">
        <f t="shared" si="10"/>
        <v>27.375363693311538</v>
      </c>
      <c r="G37">
        <f t="shared" si="10"/>
        <v>28.137342440208904</v>
      </c>
      <c r="H37">
        <f t="shared" si="10"/>
        <v>28.939306807995038</v>
      </c>
      <c r="I37">
        <f t="shared" si="10"/>
        <v>29.781256796669929</v>
      </c>
      <c r="J37">
        <f t="shared" si="10"/>
        <v>30.663192406233591</v>
      </c>
      <c r="K37">
        <f t="shared" si="10"/>
        <v>31.585113636686017</v>
      </c>
      <c r="L37">
        <f t="shared" si="10"/>
        <v>32.547020488027215</v>
      </c>
      <c r="M37">
        <f t="shared" si="10"/>
        <v>33.548912960257169</v>
      </c>
      <c r="N37">
        <f t="shared" si="10"/>
        <v>34.590791053375888</v>
      </c>
      <c r="O37">
        <f t="shared" si="10"/>
        <v>35.672654767383378</v>
      </c>
      <c r="P37">
        <f t="shared" si="10"/>
        <v>36.794504102279632</v>
      </c>
      <c r="Q37">
        <f t="shared" si="10"/>
        <v>37.956339058064643</v>
      </c>
      <c r="R37">
        <f t="shared" si="10"/>
        <v>39.158159634738425</v>
      </c>
      <c r="S37">
        <f t="shared" si="8"/>
        <v>40.399965832300978</v>
      </c>
      <c r="T37">
        <f t="shared" si="8"/>
        <v>41.681757650752289</v>
      </c>
      <c r="U37">
        <f t="shared" si="8"/>
        <v>43.00353509009237</v>
      </c>
      <c r="V37">
        <f t="shared" si="8"/>
        <v>44.365298150321209</v>
      </c>
      <c r="W37">
        <f t="shared" si="8"/>
        <v>45.767046831438819</v>
      </c>
      <c r="X37">
        <f t="shared" si="8"/>
        <v>47.208781133445186</v>
      </c>
      <c r="Y37">
        <f t="shared" si="8"/>
        <v>48.690501056340324</v>
      </c>
      <c r="Z37">
        <f t="shared" si="8"/>
        <v>50.212206600124233</v>
      </c>
      <c r="AA37">
        <f t="shared" si="8"/>
        <v>51.773897764796899</v>
      </c>
      <c r="AB37">
        <f t="shared" si="8"/>
        <v>53.375574550358323</v>
      </c>
      <c r="AC37">
        <f t="shared" si="9"/>
        <v>55.017236956808524</v>
      </c>
      <c r="AD37">
        <f t="shared" si="9"/>
        <v>56.698884984147483</v>
      </c>
      <c r="AE37">
        <f t="shared" si="9"/>
        <v>58.42051863237522</v>
      </c>
      <c r="AF37">
        <f t="shared" si="9"/>
        <v>60.182137901491707</v>
      </c>
      <c r="AG37">
        <f t="shared" si="9"/>
        <v>61.983742791496965</v>
      </c>
      <c r="AH37">
        <f t="shared" si="9"/>
        <v>63.825333302390987</v>
      </c>
      <c r="AI37">
        <f t="shared" si="9"/>
        <v>65.706909434173781</v>
      </c>
      <c r="AJ37">
        <f t="shared" si="9"/>
        <v>67.628471186845331</v>
      </c>
      <c r="AK37">
        <f t="shared" si="9"/>
        <v>69.590018560405639</v>
      </c>
      <c r="AL37">
        <f t="shared" si="9"/>
        <v>71.591551554854732</v>
      </c>
      <c r="AM37">
        <f t="shared" si="9"/>
        <v>73.633070170192582</v>
      </c>
      <c r="AN37">
        <f t="shared" si="9"/>
        <v>75.714574406419189</v>
      </c>
      <c r="AO37">
        <f t="shared" si="9"/>
        <v>77.836064263534567</v>
      </c>
      <c r="AP37">
        <f t="shared" si="9"/>
        <v>79.997539741538716</v>
      </c>
      <c r="AQ37">
        <f t="shared" si="9"/>
        <v>82.199000840431609</v>
      </c>
      <c r="AR37">
        <f t="shared" si="9"/>
        <v>84.440447560213286</v>
      </c>
      <c r="AS37">
        <f t="shared" si="7"/>
        <v>86.721879900883692</v>
      </c>
      <c r="AT37">
        <f t="shared" si="7"/>
        <v>89.043297862442898</v>
      </c>
      <c r="AU37">
        <f t="shared" si="7"/>
        <v>91.404701444890847</v>
      </c>
      <c r="AV37">
        <f t="shared" si="7"/>
        <v>93.806090648227581</v>
      </c>
      <c r="AW37">
        <f t="shared" si="7"/>
        <v>96.247465472453058</v>
      </c>
      <c r="AX37">
        <f t="shared" si="7"/>
        <v>98.72882591756732</v>
      </c>
      <c r="AY37">
        <f t="shared" si="7"/>
        <v>101.25017198357031</v>
      </c>
      <c r="AZ37">
        <f t="shared" si="7"/>
        <v>103.8115036704621</v>
      </c>
      <c r="BA37">
        <f t="shared" si="7"/>
        <v>106.41282097824265</v>
      </c>
    </row>
    <row r="38" spans="2:53" x14ac:dyDescent="0.45">
      <c r="B38">
        <f t="shared" si="3"/>
        <v>6.6000000000000032</v>
      </c>
      <c r="C38">
        <f t="shared" si="10"/>
        <v>26.593159557660421</v>
      </c>
      <c r="D38">
        <f t="shared" si="10"/>
        <v>27.253256732823811</v>
      </c>
      <c r="E38">
        <f t="shared" si="10"/>
        <v>27.953339528875972</v>
      </c>
      <c r="F38">
        <f t="shared" si="10"/>
        <v>28.69340794581689</v>
      </c>
      <c r="G38">
        <f t="shared" si="10"/>
        <v>29.47346198364658</v>
      </c>
      <c r="H38">
        <f t="shared" si="10"/>
        <v>30.29350164236503</v>
      </c>
      <c r="I38">
        <f t="shared" si="10"/>
        <v>31.153526921972247</v>
      </c>
      <c r="J38">
        <f t="shared" si="10"/>
        <v>32.053537822468229</v>
      </c>
      <c r="K38">
        <f t="shared" si="10"/>
        <v>32.993534343852971</v>
      </c>
      <c r="L38">
        <f t="shared" si="10"/>
        <v>33.973516486126485</v>
      </c>
      <c r="M38">
        <f t="shared" si="10"/>
        <v>34.993484249288763</v>
      </c>
      <c r="N38">
        <f t="shared" si="10"/>
        <v>36.053437633339804</v>
      </c>
      <c r="O38">
        <f t="shared" si="10"/>
        <v>37.15337663827961</v>
      </c>
      <c r="P38">
        <f t="shared" si="10"/>
        <v>38.293301264108187</v>
      </c>
      <c r="Q38">
        <f t="shared" si="10"/>
        <v>39.473211510825521</v>
      </c>
      <c r="R38">
        <f t="shared" si="10"/>
        <v>40.69310737843162</v>
      </c>
      <c r="S38">
        <f t="shared" si="8"/>
        <v>41.952988866926489</v>
      </c>
      <c r="T38">
        <f t="shared" si="8"/>
        <v>43.252855976310123</v>
      </c>
      <c r="U38">
        <f t="shared" si="8"/>
        <v>44.592708706582528</v>
      </c>
      <c r="V38">
        <f t="shared" si="8"/>
        <v>45.972547057743682</v>
      </c>
      <c r="W38">
        <f t="shared" si="8"/>
        <v>47.392371029793615</v>
      </c>
      <c r="X38">
        <f t="shared" si="8"/>
        <v>48.852180622732305</v>
      </c>
      <c r="Y38">
        <f t="shared" si="8"/>
        <v>50.35197583655976</v>
      </c>
      <c r="Z38">
        <f t="shared" si="8"/>
        <v>51.891756671275992</v>
      </c>
      <c r="AA38">
        <f t="shared" si="8"/>
        <v>53.471523126880975</v>
      </c>
      <c r="AB38">
        <f t="shared" si="8"/>
        <v>55.091275203374721</v>
      </c>
      <c r="AC38">
        <f t="shared" si="9"/>
        <v>56.751012900757246</v>
      </c>
      <c r="AD38">
        <f t="shared" si="9"/>
        <v>58.450736219028521</v>
      </c>
      <c r="AE38">
        <f t="shared" si="9"/>
        <v>60.190445158188567</v>
      </c>
      <c r="AF38">
        <f t="shared" si="9"/>
        <v>61.970139718237391</v>
      </c>
      <c r="AG38">
        <f t="shared" si="9"/>
        <v>63.789819899174965</v>
      </c>
      <c r="AH38">
        <f t="shared" si="9"/>
        <v>65.649485701001311</v>
      </c>
      <c r="AI38">
        <f t="shared" si="9"/>
        <v>67.549137123716406</v>
      </c>
      <c r="AJ38">
        <f t="shared" si="9"/>
        <v>69.488774167320287</v>
      </c>
      <c r="AK38">
        <f t="shared" si="9"/>
        <v>71.468396831812925</v>
      </c>
      <c r="AL38">
        <f t="shared" si="9"/>
        <v>73.488005117194334</v>
      </c>
      <c r="AM38">
        <f t="shared" si="9"/>
        <v>75.5475990234645</v>
      </c>
      <c r="AN38">
        <f t="shared" si="9"/>
        <v>77.647178550623437</v>
      </c>
      <c r="AO38">
        <f t="shared" si="9"/>
        <v>79.786743698671131</v>
      </c>
      <c r="AP38">
        <f t="shared" si="9"/>
        <v>81.966294467607597</v>
      </c>
      <c r="AQ38">
        <f t="shared" si="9"/>
        <v>84.185830857432805</v>
      </c>
      <c r="AR38">
        <f t="shared" si="9"/>
        <v>86.445352868146784</v>
      </c>
      <c r="AS38">
        <f t="shared" si="7"/>
        <v>88.744860499749535</v>
      </c>
      <c r="AT38">
        <f t="shared" si="7"/>
        <v>91.084353752241043</v>
      </c>
      <c r="AU38">
        <f t="shared" si="7"/>
        <v>93.463832625621336</v>
      </c>
      <c r="AV38">
        <f t="shared" si="7"/>
        <v>95.883297119890372</v>
      </c>
      <c r="AW38">
        <f t="shared" si="7"/>
        <v>98.342747235048179</v>
      </c>
      <c r="AX38">
        <f t="shared" si="7"/>
        <v>100.84218297109474</v>
      </c>
      <c r="AY38">
        <f t="shared" si="7"/>
        <v>103.38160432803008</v>
      </c>
      <c r="AZ38">
        <f t="shared" si="7"/>
        <v>105.96101130585419</v>
      </c>
      <c r="BA38">
        <f t="shared" si="7"/>
        <v>108.58040390456705</v>
      </c>
    </row>
    <row r="39" spans="2:53" x14ac:dyDescent="0.45">
      <c r="B39">
        <f t="shared" si="3"/>
        <v>6.8000000000000034</v>
      </c>
      <c r="C39">
        <f t="shared" si="10"/>
        <v>27.892439567901913</v>
      </c>
      <c r="D39">
        <f t="shared" si="10"/>
        <v>28.570612033997623</v>
      </c>
      <c r="E39">
        <f t="shared" si="10"/>
        <v>29.2887701209821</v>
      </c>
      <c r="F39">
        <f t="shared" si="10"/>
        <v>30.046913828855345</v>
      </c>
      <c r="G39">
        <f t="shared" si="10"/>
        <v>30.845043157617351</v>
      </c>
      <c r="H39">
        <f t="shared" si="10"/>
        <v>31.683158107268124</v>
      </c>
      <c r="I39">
        <f t="shared" si="10"/>
        <v>32.561258677807658</v>
      </c>
      <c r="J39">
        <f t="shared" si="10"/>
        <v>33.479344869235959</v>
      </c>
      <c r="K39">
        <f t="shared" si="10"/>
        <v>34.437416681553032</v>
      </c>
      <c r="L39">
        <f t="shared" si="10"/>
        <v>35.435474114758861</v>
      </c>
      <c r="M39">
        <f t="shared" si="10"/>
        <v>36.473517168853455</v>
      </c>
      <c r="N39">
        <f t="shared" si="10"/>
        <v>37.55154584383682</v>
      </c>
      <c r="O39">
        <f t="shared" si="10"/>
        <v>38.669560139708942</v>
      </c>
      <c r="P39">
        <f t="shared" si="10"/>
        <v>39.827560056469835</v>
      </c>
      <c r="Q39">
        <f t="shared" si="10"/>
        <v>41.025545594119492</v>
      </c>
      <c r="R39">
        <f t="shared" si="10"/>
        <v>42.263516752657921</v>
      </c>
      <c r="S39">
        <f t="shared" si="8"/>
        <v>43.541473532085107</v>
      </c>
      <c r="T39">
        <f t="shared" si="8"/>
        <v>44.859415932401056</v>
      </c>
      <c r="U39">
        <f t="shared" si="8"/>
        <v>46.217343953605777</v>
      </c>
      <c r="V39">
        <f t="shared" si="8"/>
        <v>47.615257595699255</v>
      </c>
      <c r="W39">
        <f t="shared" si="8"/>
        <v>49.053156858681504</v>
      </c>
      <c r="X39">
        <f t="shared" si="8"/>
        <v>50.53104174255251</v>
      </c>
      <c r="Y39">
        <f t="shared" si="8"/>
        <v>52.048912247312288</v>
      </c>
      <c r="Z39">
        <f t="shared" si="8"/>
        <v>53.606768372960843</v>
      </c>
      <c r="AA39">
        <f t="shared" si="8"/>
        <v>55.204610119498149</v>
      </c>
      <c r="AB39">
        <f t="shared" si="8"/>
        <v>56.842437486924219</v>
      </c>
      <c r="AC39">
        <f t="shared" si="9"/>
        <v>58.520250475239052</v>
      </c>
      <c r="AD39">
        <f t="shared" si="9"/>
        <v>60.23804908444265</v>
      </c>
      <c r="AE39">
        <f t="shared" si="9"/>
        <v>61.99583331453502</v>
      </c>
      <c r="AF39">
        <f t="shared" si="9"/>
        <v>63.79360316551616</v>
      </c>
      <c r="AG39">
        <f t="shared" si="9"/>
        <v>65.631358637386057</v>
      </c>
      <c r="AH39">
        <f t="shared" si="9"/>
        <v>67.509099730144726</v>
      </c>
      <c r="AI39">
        <f t="shared" si="9"/>
        <v>69.426826443792152</v>
      </c>
      <c r="AJ39">
        <f t="shared" si="9"/>
        <v>71.384538778328348</v>
      </c>
      <c r="AK39">
        <f t="shared" si="9"/>
        <v>73.382236733753302</v>
      </c>
      <c r="AL39">
        <f t="shared" si="9"/>
        <v>75.419920310067027</v>
      </c>
      <c r="AM39">
        <f t="shared" si="9"/>
        <v>77.49758950726951</v>
      </c>
      <c r="AN39">
        <f t="shared" si="9"/>
        <v>79.615244325360763</v>
      </c>
      <c r="AO39">
        <f t="shared" si="9"/>
        <v>81.772884764340773</v>
      </c>
      <c r="AP39">
        <f t="shared" si="9"/>
        <v>83.970510824209569</v>
      </c>
      <c r="AQ39">
        <f t="shared" si="9"/>
        <v>86.208122504967108</v>
      </c>
      <c r="AR39">
        <f t="shared" si="9"/>
        <v>88.485719806613417</v>
      </c>
      <c r="AS39">
        <f t="shared" si="7"/>
        <v>90.80330272914847</v>
      </c>
      <c r="AT39">
        <f t="shared" si="7"/>
        <v>93.160871272572308</v>
      </c>
      <c r="AU39">
        <f t="shared" si="7"/>
        <v>95.558425436884903</v>
      </c>
      <c r="AV39">
        <f t="shared" si="7"/>
        <v>97.995965222086269</v>
      </c>
      <c r="AW39">
        <f t="shared" si="7"/>
        <v>100.47349062817641</v>
      </c>
      <c r="AX39">
        <f t="shared" si="7"/>
        <v>102.99100165515529</v>
      </c>
      <c r="AY39">
        <f t="shared" si="7"/>
        <v>105.54849830302294</v>
      </c>
      <c r="AZ39">
        <f t="shared" si="7"/>
        <v>108.14598057177936</v>
      </c>
      <c r="BA39">
        <f t="shared" si="7"/>
        <v>110.78344846142454</v>
      </c>
    </row>
    <row r="40" spans="2:53" x14ac:dyDescent="0.45">
      <c r="B40">
        <f t="shared" si="3"/>
        <v>7.0000000000000036</v>
      </c>
      <c r="C40">
        <f t="shared" si="10"/>
        <v>29.227181208676505</v>
      </c>
      <c r="D40">
        <f t="shared" si="10"/>
        <v>29.923428965704538</v>
      </c>
      <c r="E40">
        <f t="shared" si="10"/>
        <v>30.659662343621338</v>
      </c>
      <c r="F40">
        <f t="shared" si="10"/>
        <v>31.435881342426896</v>
      </c>
      <c r="G40">
        <f t="shared" si="10"/>
        <v>32.252085962121228</v>
      </c>
      <c r="H40">
        <f t="shared" si="10"/>
        <v>33.108276202704317</v>
      </c>
      <c r="I40">
        <f t="shared" si="10"/>
        <v>34.004452064176171</v>
      </c>
      <c r="J40">
        <f t="shared" si="10"/>
        <v>34.940613546536795</v>
      </c>
      <c r="K40">
        <f t="shared" si="10"/>
        <v>35.916760649786184</v>
      </c>
      <c r="L40">
        <f t="shared" si="10"/>
        <v>36.932893373924337</v>
      </c>
      <c r="M40">
        <f t="shared" si="10"/>
        <v>37.989011718951247</v>
      </c>
      <c r="N40">
        <f t="shared" si="10"/>
        <v>39.085115684866935</v>
      </c>
      <c r="O40">
        <f t="shared" si="10"/>
        <v>40.22120527167138</v>
      </c>
      <c r="P40">
        <f t="shared" si="10"/>
        <v>41.397280479364596</v>
      </c>
      <c r="Q40">
        <f t="shared" si="10"/>
        <v>42.613341307946563</v>
      </c>
      <c r="R40">
        <f t="shared" si="10"/>
        <v>43.869387757417314</v>
      </c>
      <c r="S40">
        <f t="shared" si="8"/>
        <v>45.165419827776823</v>
      </c>
      <c r="T40">
        <f t="shared" si="8"/>
        <v>46.501437519025089</v>
      </c>
      <c r="U40">
        <f t="shared" si="8"/>
        <v>47.877440831162133</v>
      </c>
      <c r="V40">
        <f t="shared" si="8"/>
        <v>49.293429764187934</v>
      </c>
      <c r="W40">
        <f t="shared" si="8"/>
        <v>50.749404318102499</v>
      </c>
      <c r="X40">
        <f t="shared" si="8"/>
        <v>52.245364492905829</v>
      </c>
      <c r="Y40">
        <f t="shared" si="8"/>
        <v>53.781310288597929</v>
      </c>
      <c r="Z40">
        <f t="shared" si="8"/>
        <v>55.357241705178794</v>
      </c>
      <c r="AA40">
        <f t="shared" si="8"/>
        <v>56.973158742648415</v>
      </c>
      <c r="AB40">
        <f t="shared" si="8"/>
        <v>58.629061401006808</v>
      </c>
      <c r="AC40">
        <f t="shared" si="9"/>
        <v>60.324949680253965</v>
      </c>
      <c r="AD40">
        <f t="shared" si="9"/>
        <v>62.060823580389894</v>
      </c>
      <c r="AE40">
        <f t="shared" si="9"/>
        <v>63.836683101414579</v>
      </c>
      <c r="AF40">
        <f t="shared" si="9"/>
        <v>65.652528243328035</v>
      </c>
      <c r="AG40">
        <f t="shared" si="9"/>
        <v>67.508359006130249</v>
      </c>
      <c r="AH40">
        <f t="shared" si="9"/>
        <v>69.404175389821233</v>
      </c>
      <c r="AI40">
        <f t="shared" si="9"/>
        <v>71.339977394400989</v>
      </c>
      <c r="AJ40">
        <f t="shared" si="9"/>
        <v>73.315765019869502</v>
      </c>
      <c r="AK40">
        <f t="shared" si="9"/>
        <v>75.331538266226772</v>
      </c>
      <c r="AL40">
        <f t="shared" si="9"/>
        <v>77.387297133472813</v>
      </c>
      <c r="AM40">
        <f t="shared" si="9"/>
        <v>79.483041621607626</v>
      </c>
      <c r="AN40">
        <f t="shared" si="9"/>
        <v>81.618771730631209</v>
      </c>
      <c r="AO40">
        <f t="shared" si="9"/>
        <v>83.794487460543536</v>
      </c>
      <c r="AP40">
        <f t="shared" si="9"/>
        <v>86.010188811344648</v>
      </c>
      <c r="AQ40">
        <f t="shared" si="9"/>
        <v>88.265875783034502</v>
      </c>
      <c r="AR40">
        <f t="shared" si="9"/>
        <v>90.561548375613114</v>
      </c>
      <c r="AS40">
        <f t="shared" si="7"/>
        <v>92.897206589080511</v>
      </c>
      <c r="AT40">
        <f t="shared" si="7"/>
        <v>95.272850423436665</v>
      </c>
      <c r="AU40">
        <f t="shared" si="7"/>
        <v>97.688479878681576</v>
      </c>
      <c r="AV40">
        <f t="shared" si="7"/>
        <v>100.14409495481526</v>
      </c>
      <c r="AW40">
        <f t="shared" si="7"/>
        <v>102.63969565183771</v>
      </c>
      <c r="AX40">
        <f t="shared" si="7"/>
        <v>105.17528196974891</v>
      </c>
      <c r="AY40">
        <f t="shared" si="7"/>
        <v>107.7508539085489</v>
      </c>
      <c r="AZ40">
        <f t="shared" si="7"/>
        <v>110.36641146823766</v>
      </c>
      <c r="BA40">
        <f t="shared" si="7"/>
        <v>113.02195464881514</v>
      </c>
    </row>
    <row r="41" spans="2:53" x14ac:dyDescent="0.45">
      <c r="B41">
        <f t="shared" si="3"/>
        <v>7.2000000000000037</v>
      </c>
      <c r="C41">
        <f t="shared" si="10"/>
        <v>30.5973844799842</v>
      </c>
      <c r="D41">
        <f t="shared" si="10"/>
        <v>31.311707527944549</v>
      </c>
      <c r="E41">
        <f t="shared" si="10"/>
        <v>32.066016196793669</v>
      </c>
      <c r="F41">
        <f t="shared" si="10"/>
        <v>32.860310486531553</v>
      </c>
      <c r="G41">
        <f t="shared" si="10"/>
        <v>33.694590397158201</v>
      </c>
      <c r="H41">
        <f t="shared" si="10"/>
        <v>34.568855928673614</v>
      </c>
      <c r="I41">
        <f t="shared" si="10"/>
        <v>35.48310708107779</v>
      </c>
      <c r="J41">
        <f t="shared" si="10"/>
        <v>36.437343854370724</v>
      </c>
      <c r="K41">
        <f t="shared" si="10"/>
        <v>37.431566248552436</v>
      </c>
      <c r="L41">
        <f t="shared" si="10"/>
        <v>38.465774263622905</v>
      </c>
      <c r="M41">
        <f t="shared" si="10"/>
        <v>39.539967899582145</v>
      </c>
      <c r="N41">
        <f t="shared" si="10"/>
        <v>40.654147156430142</v>
      </c>
      <c r="O41">
        <f t="shared" si="10"/>
        <v>41.808312034166917</v>
      </c>
      <c r="P41">
        <f t="shared" si="10"/>
        <v>43.00246253279245</v>
      </c>
      <c r="Q41">
        <f t="shared" si="10"/>
        <v>44.236598652306746</v>
      </c>
      <c r="R41">
        <f t="shared" si="10"/>
        <v>45.510720392709807</v>
      </c>
      <c r="S41">
        <f t="shared" si="8"/>
        <v>46.824827754001632</v>
      </c>
      <c r="T41">
        <f t="shared" si="8"/>
        <v>48.178920736182228</v>
      </c>
      <c r="U41">
        <f t="shared" si="8"/>
        <v>49.572999339251581</v>
      </c>
      <c r="V41">
        <f t="shared" si="8"/>
        <v>51.007063563209712</v>
      </c>
      <c r="W41">
        <f t="shared" si="8"/>
        <v>52.481113408056586</v>
      </c>
      <c r="X41">
        <f t="shared" si="8"/>
        <v>53.995148873792246</v>
      </c>
      <c r="Y41">
        <f t="shared" si="8"/>
        <v>55.549169960416663</v>
      </c>
      <c r="Z41">
        <f t="shared" si="8"/>
        <v>57.143176667929851</v>
      </c>
      <c r="AA41">
        <f t="shared" si="8"/>
        <v>58.777168996331795</v>
      </c>
      <c r="AB41">
        <f t="shared" si="8"/>
        <v>60.451146945622504</v>
      </c>
      <c r="AC41">
        <f t="shared" si="9"/>
        <v>62.165110515801985</v>
      </c>
      <c r="AD41">
        <f t="shared" si="9"/>
        <v>63.919059706870229</v>
      </c>
      <c r="AE41">
        <f t="shared" si="9"/>
        <v>65.71299451882723</v>
      </c>
      <c r="AF41">
        <f t="shared" si="9"/>
        <v>67.546914951673017</v>
      </c>
      <c r="AG41">
        <f t="shared" si="9"/>
        <v>69.420821005407547</v>
      </c>
      <c r="AH41">
        <f t="shared" si="9"/>
        <v>71.334712680030862</v>
      </c>
      <c r="AI41">
        <f t="shared" si="9"/>
        <v>73.288589975542919</v>
      </c>
      <c r="AJ41">
        <f t="shared" si="9"/>
        <v>75.282452891943748</v>
      </c>
      <c r="AK41">
        <f t="shared" si="9"/>
        <v>77.316301429233363</v>
      </c>
      <c r="AL41">
        <f t="shared" si="9"/>
        <v>79.39013558741172</v>
      </c>
      <c r="AM41">
        <f t="shared" si="9"/>
        <v>81.503955366478849</v>
      </c>
      <c r="AN41">
        <f t="shared" si="9"/>
        <v>83.657760766434734</v>
      </c>
      <c r="AO41">
        <f t="shared" si="9"/>
        <v>85.851551787279391</v>
      </c>
      <c r="AP41">
        <f t="shared" si="9"/>
        <v>88.085328429012819</v>
      </c>
      <c r="AQ41">
        <f t="shared" si="9"/>
        <v>90.359090691634989</v>
      </c>
      <c r="AR41">
        <f t="shared" ref="AR41:BA55" si="11">$A$2+$B$2*AR$4+$C$2*$B41+$D$2*AR$4^2+$E$2*$B41^2+$F$2*AR$4*$B41</f>
        <v>92.672838575145946</v>
      </c>
      <c r="AS41">
        <f t="shared" si="11"/>
        <v>95.026572079545659</v>
      </c>
      <c r="AT41">
        <f t="shared" si="11"/>
        <v>97.420291204834129</v>
      </c>
      <c r="AU41">
        <f t="shared" si="11"/>
        <v>99.853995951011356</v>
      </c>
      <c r="AV41">
        <f t="shared" si="11"/>
        <v>102.32768631807737</v>
      </c>
      <c r="AW41">
        <f t="shared" si="11"/>
        <v>104.84136230603212</v>
      </c>
      <c r="AX41">
        <f t="shared" si="11"/>
        <v>107.39502391487565</v>
      </c>
      <c r="AY41">
        <f t="shared" si="11"/>
        <v>109.98867114460793</v>
      </c>
      <c r="AZ41">
        <f t="shared" si="11"/>
        <v>112.622303995229</v>
      </c>
      <c r="BA41">
        <f t="shared" si="11"/>
        <v>115.29592246673883</v>
      </c>
    </row>
    <row r="42" spans="2:53" x14ac:dyDescent="0.45">
      <c r="B42">
        <f t="shared" si="3"/>
        <v>7.4000000000000039</v>
      </c>
      <c r="C42">
        <f t="shared" si="10"/>
        <v>32.003049381824994</v>
      </c>
      <c r="D42">
        <f t="shared" si="10"/>
        <v>32.735447720717666</v>
      </c>
      <c r="E42">
        <f t="shared" si="10"/>
        <v>33.507831680499109</v>
      </c>
      <c r="F42">
        <f t="shared" si="10"/>
        <v>34.320201261169302</v>
      </c>
      <c r="G42">
        <f t="shared" si="10"/>
        <v>35.172556462728274</v>
      </c>
      <c r="H42">
        <f t="shared" si="10"/>
        <v>36.064897285176002</v>
      </c>
      <c r="I42">
        <f t="shared" si="10"/>
        <v>36.997223728512502</v>
      </c>
      <c r="J42">
        <f t="shared" si="10"/>
        <v>37.969535792737759</v>
      </c>
      <c r="K42">
        <f t="shared" si="10"/>
        <v>38.981833477851787</v>
      </c>
      <c r="L42">
        <f t="shared" si="10"/>
        <v>40.034116783854579</v>
      </c>
      <c r="M42">
        <f t="shared" si="10"/>
        <v>41.126385710746135</v>
      </c>
      <c r="N42">
        <f t="shared" si="10"/>
        <v>42.258640258526455</v>
      </c>
      <c r="O42">
        <f t="shared" si="10"/>
        <v>43.43088042719554</v>
      </c>
      <c r="P42">
        <f t="shared" si="10"/>
        <v>44.643106216753395</v>
      </c>
      <c r="Q42">
        <f t="shared" si="10"/>
        <v>45.895317627200022</v>
      </c>
      <c r="R42">
        <f t="shared" ref="R42:AG55" si="12">$A$2+$B$2*R$4+$C$2*$B42+$D$2*R$4^2+$E$2*$B42^2+$F$2*R$4*$B42</f>
        <v>47.187514658535399</v>
      </c>
      <c r="S42">
        <f t="shared" si="12"/>
        <v>48.519697310759547</v>
      </c>
      <c r="T42">
        <f t="shared" si="12"/>
        <v>49.891865583872459</v>
      </c>
      <c r="U42">
        <f t="shared" si="12"/>
        <v>51.304019477874135</v>
      </c>
      <c r="V42">
        <f t="shared" si="12"/>
        <v>52.756158992764583</v>
      </c>
      <c r="W42">
        <f t="shared" si="12"/>
        <v>54.248284128543787</v>
      </c>
      <c r="X42">
        <f t="shared" si="12"/>
        <v>55.780394885211756</v>
      </c>
      <c r="Y42">
        <f t="shared" si="12"/>
        <v>57.352491262768496</v>
      </c>
      <c r="Z42">
        <f t="shared" si="12"/>
        <v>58.964573261213999</v>
      </c>
      <c r="AA42">
        <f t="shared" si="12"/>
        <v>60.616640880548275</v>
      </c>
      <c r="AB42">
        <f t="shared" si="12"/>
        <v>62.3086941207713</v>
      </c>
      <c r="AC42">
        <f t="shared" si="12"/>
        <v>64.04073298188311</v>
      </c>
      <c r="AD42">
        <f t="shared" si="12"/>
        <v>65.812757463883656</v>
      </c>
      <c r="AE42">
        <f t="shared" si="12"/>
        <v>67.624767566772988</v>
      </c>
      <c r="AF42">
        <f t="shared" si="12"/>
        <v>69.476763290551091</v>
      </c>
      <c r="AG42">
        <f t="shared" si="12"/>
        <v>71.368744635217936</v>
      </c>
      <c r="AH42">
        <f t="shared" ref="AH42:AW55" si="13">$A$2+$B$2*AH$4+$C$2*$B42+$D$2*AH$4^2+$E$2*$B42^2+$F$2*AH$4*$B42</f>
        <v>73.300711600773568</v>
      </c>
      <c r="AI42">
        <f t="shared" si="13"/>
        <v>75.272664187217956</v>
      </c>
      <c r="AJ42">
        <f t="shared" si="13"/>
        <v>77.284602394551115</v>
      </c>
      <c r="AK42">
        <f t="shared" si="13"/>
        <v>79.336526222773031</v>
      </c>
      <c r="AL42">
        <f t="shared" si="13"/>
        <v>81.428435671883705</v>
      </c>
      <c r="AM42">
        <f t="shared" si="13"/>
        <v>83.560330741883163</v>
      </c>
      <c r="AN42">
        <f t="shared" si="13"/>
        <v>85.732211432771365</v>
      </c>
      <c r="AO42">
        <f t="shared" si="13"/>
        <v>87.944077744548352</v>
      </c>
      <c r="AP42">
        <f t="shared" si="13"/>
        <v>90.195929677214096</v>
      </c>
      <c r="AQ42">
        <f t="shared" si="13"/>
        <v>92.487767230768583</v>
      </c>
      <c r="AR42">
        <f t="shared" si="13"/>
        <v>94.819590405211869</v>
      </c>
      <c r="AS42">
        <f t="shared" si="13"/>
        <v>97.191399200543884</v>
      </c>
      <c r="AT42">
        <f t="shared" si="13"/>
        <v>99.603193616764685</v>
      </c>
      <c r="AU42">
        <f t="shared" si="13"/>
        <v>102.05497365387423</v>
      </c>
      <c r="AV42">
        <f t="shared" si="13"/>
        <v>104.54673931187256</v>
      </c>
      <c r="AW42">
        <f t="shared" si="13"/>
        <v>107.07849059075966</v>
      </c>
      <c r="AX42">
        <f t="shared" si="11"/>
        <v>109.6502274905355</v>
      </c>
      <c r="AY42">
        <f t="shared" si="11"/>
        <v>112.26195001120011</v>
      </c>
      <c r="AZ42">
        <f t="shared" si="11"/>
        <v>114.91365815275348</v>
      </c>
      <c r="BA42">
        <f t="shared" si="11"/>
        <v>117.60535191519563</v>
      </c>
    </row>
    <row r="43" spans="2:53" x14ac:dyDescent="0.45">
      <c r="B43">
        <f t="shared" si="3"/>
        <v>7.6000000000000041</v>
      </c>
      <c r="C43">
        <f t="shared" ref="C43:R55" si="14">$A$2+$B$2*C$4+$C$2*$B43+$D$2*C$4^2+$E$2*$B43^2+$F$2*C$4*$B43</f>
        <v>33.444175914198887</v>
      </c>
      <c r="D43">
        <f t="shared" si="14"/>
        <v>34.194649544023882</v>
      </c>
      <c r="E43">
        <f t="shared" si="14"/>
        <v>34.985108794737641</v>
      </c>
      <c r="F43">
        <f t="shared" si="14"/>
        <v>35.815553666340158</v>
      </c>
      <c r="G43">
        <f t="shared" si="14"/>
        <v>36.685984158831445</v>
      </c>
      <c r="H43">
        <f t="shared" si="14"/>
        <v>37.596400272211504</v>
      </c>
      <c r="I43">
        <f t="shared" si="14"/>
        <v>38.54680200648032</v>
      </c>
      <c r="J43">
        <f t="shared" si="14"/>
        <v>39.537189361637893</v>
      </c>
      <c r="K43">
        <f t="shared" si="14"/>
        <v>40.567562337684244</v>
      </c>
      <c r="L43">
        <f t="shared" si="14"/>
        <v>41.637920934619359</v>
      </c>
      <c r="M43">
        <f t="shared" si="14"/>
        <v>42.748265152443231</v>
      </c>
      <c r="N43">
        <f t="shared" si="14"/>
        <v>43.898594991155875</v>
      </c>
      <c r="O43">
        <f t="shared" si="14"/>
        <v>45.088910450757282</v>
      </c>
      <c r="P43">
        <f t="shared" si="14"/>
        <v>46.319211531247454</v>
      </c>
      <c r="Q43">
        <f t="shared" si="14"/>
        <v>47.58949823262639</v>
      </c>
      <c r="R43">
        <f t="shared" si="14"/>
        <v>48.899770554894097</v>
      </c>
      <c r="S43">
        <f t="shared" si="12"/>
        <v>50.250028498050568</v>
      </c>
      <c r="T43">
        <f t="shared" si="12"/>
        <v>51.640272062095796</v>
      </c>
      <c r="U43">
        <f t="shared" si="12"/>
        <v>53.070501247029796</v>
      </c>
      <c r="V43">
        <f t="shared" si="12"/>
        <v>54.540716052852559</v>
      </c>
      <c r="W43">
        <f t="shared" si="12"/>
        <v>56.050916479564087</v>
      </c>
      <c r="X43">
        <f t="shared" si="12"/>
        <v>57.601102527164372</v>
      </c>
      <c r="Y43">
        <f t="shared" si="12"/>
        <v>59.191274195653435</v>
      </c>
      <c r="Z43">
        <f t="shared" si="12"/>
        <v>60.821431485031269</v>
      </c>
      <c r="AA43">
        <f t="shared" si="12"/>
        <v>62.491574395297853</v>
      </c>
      <c r="AB43">
        <f t="shared" si="12"/>
        <v>64.201702926453194</v>
      </c>
      <c r="AC43">
        <f t="shared" si="12"/>
        <v>65.951817078497314</v>
      </c>
      <c r="AD43">
        <f t="shared" si="12"/>
        <v>67.741916851430204</v>
      </c>
      <c r="AE43">
        <f t="shared" si="12"/>
        <v>69.572002245251852</v>
      </c>
      <c r="AF43">
        <f t="shared" si="12"/>
        <v>71.442073259962257</v>
      </c>
      <c r="AG43">
        <f t="shared" si="12"/>
        <v>73.352129895561447</v>
      </c>
      <c r="AH43">
        <f t="shared" si="13"/>
        <v>75.302172152049394</v>
      </c>
      <c r="AI43">
        <f t="shared" si="13"/>
        <v>77.292200029426084</v>
      </c>
      <c r="AJ43">
        <f t="shared" si="13"/>
        <v>79.322213527691574</v>
      </c>
      <c r="AK43">
        <f t="shared" si="13"/>
        <v>81.392212646845792</v>
      </c>
      <c r="AL43">
        <f t="shared" si="13"/>
        <v>83.50219738688881</v>
      </c>
      <c r="AM43">
        <f t="shared" si="13"/>
        <v>85.652167747820585</v>
      </c>
      <c r="AN43">
        <f t="shared" si="13"/>
        <v>87.842123729641116</v>
      </c>
      <c r="AO43">
        <f t="shared" si="13"/>
        <v>90.072065332350405</v>
      </c>
      <c r="AP43">
        <f t="shared" si="13"/>
        <v>92.34199255594848</v>
      </c>
      <c r="AQ43">
        <f t="shared" si="13"/>
        <v>94.651905400435282</v>
      </c>
      <c r="AR43">
        <f t="shared" si="13"/>
        <v>97.001803865810885</v>
      </c>
      <c r="AS43">
        <f t="shared" si="13"/>
        <v>99.391687952075216</v>
      </c>
      <c r="AT43">
        <f t="shared" si="13"/>
        <v>101.82155765922833</v>
      </c>
      <c r="AU43">
        <f t="shared" si="13"/>
        <v>104.29141298727021</v>
      </c>
      <c r="AV43">
        <f t="shared" si="13"/>
        <v>106.80125393620085</v>
      </c>
      <c r="AW43">
        <f t="shared" si="13"/>
        <v>109.35108050602025</v>
      </c>
      <c r="AX43">
        <f t="shared" si="11"/>
        <v>111.94089269672843</v>
      </c>
      <c r="AY43">
        <f t="shared" si="11"/>
        <v>114.57069050832536</v>
      </c>
      <c r="AZ43">
        <f t="shared" si="11"/>
        <v>117.24047394081107</v>
      </c>
      <c r="BA43">
        <f t="shared" si="11"/>
        <v>119.95024299418554</v>
      </c>
    </row>
    <row r="44" spans="2:53" x14ac:dyDescent="0.45">
      <c r="B44">
        <f t="shared" si="3"/>
        <v>7.8000000000000043</v>
      </c>
      <c r="C44">
        <f t="shared" si="14"/>
        <v>34.920764077105886</v>
      </c>
      <c r="D44">
        <f t="shared" si="14"/>
        <v>35.689312997863198</v>
      </c>
      <c r="E44">
        <f t="shared" si="14"/>
        <v>36.497847539509273</v>
      </c>
      <c r="F44">
        <f t="shared" si="14"/>
        <v>37.34636770204412</v>
      </c>
      <c r="G44">
        <f t="shared" si="14"/>
        <v>38.234873485467723</v>
      </c>
      <c r="H44">
        <f t="shared" si="14"/>
        <v>39.163364889780098</v>
      </c>
      <c r="I44">
        <f t="shared" si="14"/>
        <v>40.13184191498123</v>
      </c>
      <c r="J44">
        <f t="shared" si="14"/>
        <v>41.140304561071133</v>
      </c>
      <c r="K44">
        <f t="shared" si="14"/>
        <v>42.1887528280498</v>
      </c>
      <c r="L44">
        <f t="shared" si="14"/>
        <v>43.277186715917232</v>
      </c>
      <c r="M44">
        <f t="shared" si="14"/>
        <v>44.405606224673427</v>
      </c>
      <c r="N44">
        <f t="shared" si="14"/>
        <v>45.574011354318394</v>
      </c>
      <c r="O44">
        <f t="shared" si="14"/>
        <v>46.782402104852117</v>
      </c>
      <c r="P44">
        <f t="shared" si="14"/>
        <v>48.030778476274612</v>
      </c>
      <c r="Q44">
        <f t="shared" si="14"/>
        <v>49.319140468585871</v>
      </c>
      <c r="R44">
        <f t="shared" si="14"/>
        <v>50.647488081785895</v>
      </c>
      <c r="S44">
        <f t="shared" si="12"/>
        <v>52.015821315874682</v>
      </c>
      <c r="T44">
        <f t="shared" si="12"/>
        <v>53.424140170852233</v>
      </c>
      <c r="U44">
        <f t="shared" si="12"/>
        <v>54.872444646718556</v>
      </c>
      <c r="V44">
        <f t="shared" si="12"/>
        <v>56.360734743473628</v>
      </c>
      <c r="W44">
        <f t="shared" si="12"/>
        <v>57.889010461117479</v>
      </c>
      <c r="X44">
        <f t="shared" si="12"/>
        <v>59.457271799650087</v>
      </c>
      <c r="Y44">
        <f t="shared" si="12"/>
        <v>61.065518759071466</v>
      </c>
      <c r="Z44">
        <f t="shared" si="12"/>
        <v>62.713751339381616</v>
      </c>
      <c r="AA44">
        <f t="shared" si="12"/>
        <v>64.401969540580524</v>
      </c>
      <c r="AB44">
        <f t="shared" si="12"/>
        <v>66.130173362668202</v>
      </c>
      <c r="AC44">
        <f t="shared" si="12"/>
        <v>67.898362805644638</v>
      </c>
      <c r="AD44">
        <f t="shared" si="12"/>
        <v>69.706537869509845</v>
      </c>
      <c r="AE44">
        <f t="shared" si="12"/>
        <v>71.554698554263808</v>
      </c>
      <c r="AF44">
        <f t="shared" si="12"/>
        <v>73.442844859906543</v>
      </c>
      <c r="AG44">
        <f t="shared" si="12"/>
        <v>75.370976786438035</v>
      </c>
      <c r="AH44">
        <f t="shared" si="13"/>
        <v>77.339094333858299</v>
      </c>
      <c r="AI44">
        <f t="shared" si="13"/>
        <v>79.347197502167333</v>
      </c>
      <c r="AJ44">
        <f t="shared" si="13"/>
        <v>81.395286291365124</v>
      </c>
      <c r="AK44">
        <f t="shared" si="13"/>
        <v>83.483360701451687</v>
      </c>
      <c r="AL44">
        <f t="shared" si="13"/>
        <v>85.611420732427007</v>
      </c>
      <c r="AM44">
        <f t="shared" si="13"/>
        <v>87.779466384291098</v>
      </c>
      <c r="AN44">
        <f t="shared" si="13"/>
        <v>89.987497657043946</v>
      </c>
      <c r="AO44">
        <f t="shared" si="13"/>
        <v>92.235514550685565</v>
      </c>
      <c r="AP44">
        <f t="shared" si="13"/>
        <v>94.523517065215955</v>
      </c>
      <c r="AQ44">
        <f t="shared" si="13"/>
        <v>96.851505200635088</v>
      </c>
      <c r="AR44">
        <f t="shared" si="13"/>
        <v>99.219478956942993</v>
      </c>
      <c r="AS44">
        <f t="shared" si="13"/>
        <v>101.62743833413965</v>
      </c>
      <c r="AT44">
        <f t="shared" si="13"/>
        <v>104.0753833322251</v>
      </c>
      <c r="AU44">
        <f t="shared" si="13"/>
        <v>106.56331395119929</v>
      </c>
      <c r="AV44">
        <f t="shared" si="13"/>
        <v>109.09123019106227</v>
      </c>
      <c r="AW44">
        <f t="shared" si="13"/>
        <v>111.659132051814</v>
      </c>
      <c r="AX44">
        <f t="shared" si="11"/>
        <v>114.26701953345447</v>
      </c>
      <c r="AY44">
        <f t="shared" si="11"/>
        <v>116.91489263598372</v>
      </c>
      <c r="AZ44">
        <f t="shared" si="11"/>
        <v>119.60275135940174</v>
      </c>
      <c r="BA44">
        <f t="shared" si="11"/>
        <v>122.33059570370852</v>
      </c>
    </row>
    <row r="45" spans="2:53" x14ac:dyDescent="0.45">
      <c r="B45">
        <f t="shared" si="3"/>
        <v>8.0000000000000036</v>
      </c>
      <c r="C45">
        <f t="shared" si="14"/>
        <v>36.432813870545971</v>
      </c>
      <c r="D45">
        <f t="shared" si="14"/>
        <v>37.219438082235598</v>
      </c>
      <c r="E45">
        <f t="shared" si="14"/>
        <v>38.046047914813997</v>
      </c>
      <c r="F45">
        <f t="shared" si="14"/>
        <v>38.912643368281159</v>
      </c>
      <c r="G45">
        <f t="shared" si="14"/>
        <v>39.819224442637093</v>
      </c>
      <c r="H45">
        <f t="shared" si="14"/>
        <v>40.765791137881777</v>
      </c>
      <c r="I45">
        <f t="shared" si="14"/>
        <v>41.752343454015239</v>
      </c>
      <c r="J45">
        <f t="shared" si="14"/>
        <v>42.778881391037459</v>
      </c>
      <c r="K45">
        <f t="shared" si="14"/>
        <v>43.845404948948442</v>
      </c>
      <c r="L45">
        <f t="shared" si="14"/>
        <v>44.951914127748196</v>
      </c>
      <c r="M45">
        <f t="shared" si="14"/>
        <v>46.098408927436708</v>
      </c>
      <c r="N45">
        <f t="shared" si="14"/>
        <v>47.284889348013998</v>
      </c>
      <c r="O45">
        <f t="shared" si="14"/>
        <v>48.511355389480038</v>
      </c>
      <c r="P45">
        <f t="shared" si="14"/>
        <v>49.777807051834856</v>
      </c>
      <c r="Q45">
        <f t="shared" si="14"/>
        <v>51.084244335078438</v>
      </c>
      <c r="R45">
        <f t="shared" si="14"/>
        <v>52.430667239210777</v>
      </c>
      <c r="S45">
        <f t="shared" si="12"/>
        <v>53.817075764231888</v>
      </c>
      <c r="T45">
        <f t="shared" si="12"/>
        <v>55.243469910141762</v>
      </c>
      <c r="U45">
        <f t="shared" si="12"/>
        <v>56.709849676940394</v>
      </c>
      <c r="V45">
        <f t="shared" si="12"/>
        <v>58.216215064627796</v>
      </c>
      <c r="W45">
        <f t="shared" si="12"/>
        <v>59.762566073203971</v>
      </c>
      <c r="X45">
        <f t="shared" si="12"/>
        <v>61.348902702668894</v>
      </c>
      <c r="Y45">
        <f t="shared" si="12"/>
        <v>62.97522495302259</v>
      </c>
      <c r="Z45">
        <f t="shared" si="12"/>
        <v>64.641532824265056</v>
      </c>
      <c r="AA45">
        <f t="shared" si="12"/>
        <v>66.347826316396294</v>
      </c>
      <c r="AB45">
        <f t="shared" si="12"/>
        <v>68.094105429416288</v>
      </c>
      <c r="AC45">
        <f t="shared" si="12"/>
        <v>69.88037016332504</v>
      </c>
      <c r="AD45">
        <f t="shared" si="12"/>
        <v>71.706620518122548</v>
      </c>
      <c r="AE45">
        <f t="shared" si="12"/>
        <v>73.572856493808857</v>
      </c>
      <c r="AF45">
        <f t="shared" si="12"/>
        <v>75.479078090383908</v>
      </c>
      <c r="AG45">
        <f t="shared" si="12"/>
        <v>77.42528530784773</v>
      </c>
      <c r="AH45">
        <f t="shared" si="13"/>
        <v>79.411478146200309</v>
      </c>
      <c r="AI45">
        <f t="shared" si="13"/>
        <v>81.43765660544166</v>
      </c>
      <c r="AJ45">
        <f t="shared" si="13"/>
        <v>83.503820685571768</v>
      </c>
      <c r="AK45">
        <f t="shared" si="13"/>
        <v>85.609970386590646</v>
      </c>
      <c r="AL45">
        <f t="shared" si="13"/>
        <v>87.756105708498296</v>
      </c>
      <c r="AM45">
        <f t="shared" si="13"/>
        <v>89.942226651294703</v>
      </c>
      <c r="AN45">
        <f t="shared" si="13"/>
        <v>92.168333214979867</v>
      </c>
      <c r="AO45">
        <f t="shared" si="13"/>
        <v>94.434425399553817</v>
      </c>
      <c r="AP45">
        <f t="shared" si="13"/>
        <v>96.740503205016523</v>
      </c>
      <c r="AQ45">
        <f t="shared" si="13"/>
        <v>99.086566631367987</v>
      </c>
      <c r="AR45">
        <f t="shared" si="13"/>
        <v>101.47261567860821</v>
      </c>
      <c r="AS45">
        <f t="shared" si="13"/>
        <v>103.89865034673718</v>
      </c>
      <c r="AT45">
        <f t="shared" si="13"/>
        <v>106.36467063575495</v>
      </c>
      <c r="AU45">
        <f t="shared" si="13"/>
        <v>108.87067654566145</v>
      </c>
      <c r="AV45">
        <f t="shared" si="13"/>
        <v>111.41666807645674</v>
      </c>
      <c r="AW45">
        <f t="shared" si="13"/>
        <v>114.00264522814079</v>
      </c>
      <c r="AX45">
        <f t="shared" si="11"/>
        <v>116.6286080007136</v>
      </c>
      <c r="AY45">
        <f t="shared" si="11"/>
        <v>119.29455639417517</v>
      </c>
      <c r="AZ45">
        <f t="shared" si="11"/>
        <v>122.00049040852552</v>
      </c>
      <c r="BA45">
        <f t="shared" si="11"/>
        <v>124.74641004376461</v>
      </c>
    </row>
    <row r="46" spans="2:53" x14ac:dyDescent="0.45">
      <c r="B46">
        <f t="shared" si="3"/>
        <v>8.2000000000000028</v>
      </c>
      <c r="C46">
        <f t="shared" si="14"/>
        <v>37.980325294519162</v>
      </c>
      <c r="D46">
        <f t="shared" si="14"/>
        <v>38.785024797141112</v>
      </c>
      <c r="E46">
        <f t="shared" si="14"/>
        <v>39.629709920651827</v>
      </c>
      <c r="F46">
        <f t="shared" si="14"/>
        <v>40.514380665051313</v>
      </c>
      <c r="G46">
        <f t="shared" si="14"/>
        <v>41.439037030339556</v>
      </c>
      <c r="H46">
        <f t="shared" si="14"/>
        <v>42.40367901651657</v>
      </c>
      <c r="I46">
        <f t="shared" si="14"/>
        <v>43.408306623582348</v>
      </c>
      <c r="J46">
        <f t="shared" si="14"/>
        <v>44.45291985153689</v>
      </c>
      <c r="K46">
        <f t="shared" si="14"/>
        <v>45.537518700380197</v>
      </c>
      <c r="L46">
        <f t="shared" si="14"/>
        <v>46.662103170112267</v>
      </c>
      <c r="M46">
        <f t="shared" si="14"/>
        <v>47.826673260733102</v>
      </c>
      <c r="N46">
        <f t="shared" si="14"/>
        <v>49.031228972242708</v>
      </c>
      <c r="O46">
        <f t="shared" si="14"/>
        <v>50.275770304641071</v>
      </c>
      <c r="P46">
        <f t="shared" si="14"/>
        <v>51.560297257928205</v>
      </c>
      <c r="Q46">
        <f t="shared" si="14"/>
        <v>52.884809832104104</v>
      </c>
      <c r="R46">
        <f t="shared" si="14"/>
        <v>54.249308027168766</v>
      </c>
      <c r="S46">
        <f t="shared" si="12"/>
        <v>55.653791843122193</v>
      </c>
      <c r="T46">
        <f t="shared" si="12"/>
        <v>57.09826127996439</v>
      </c>
      <c r="U46">
        <f t="shared" si="12"/>
        <v>58.582716337695345</v>
      </c>
      <c r="V46">
        <f t="shared" si="12"/>
        <v>60.107157016315071</v>
      </c>
      <c r="W46">
        <f t="shared" si="12"/>
        <v>61.671583315823554</v>
      </c>
      <c r="X46">
        <f t="shared" si="12"/>
        <v>63.275995236220808</v>
      </c>
      <c r="Y46">
        <f t="shared" si="12"/>
        <v>64.920392777506819</v>
      </c>
      <c r="Z46">
        <f t="shared" si="12"/>
        <v>66.604775939681616</v>
      </c>
      <c r="AA46">
        <f t="shared" si="12"/>
        <v>68.329144722745156</v>
      </c>
      <c r="AB46">
        <f t="shared" si="12"/>
        <v>70.093499126697466</v>
      </c>
      <c r="AC46">
        <f t="shared" si="12"/>
        <v>71.897839151538562</v>
      </c>
      <c r="AD46">
        <f t="shared" si="12"/>
        <v>73.742164797268387</v>
      </c>
      <c r="AE46">
        <f t="shared" si="12"/>
        <v>75.626476063886997</v>
      </c>
      <c r="AF46">
        <f t="shared" si="12"/>
        <v>77.550772951394379</v>
      </c>
      <c r="AG46">
        <f t="shared" si="12"/>
        <v>79.515055459790517</v>
      </c>
      <c r="AH46">
        <f t="shared" si="13"/>
        <v>81.519323589075412</v>
      </c>
      <c r="AI46">
        <f t="shared" si="13"/>
        <v>83.563577339249093</v>
      </c>
      <c r="AJ46">
        <f t="shared" si="13"/>
        <v>85.647816710311517</v>
      </c>
      <c r="AK46">
        <f t="shared" si="13"/>
        <v>87.772041702262726</v>
      </c>
      <c r="AL46">
        <f t="shared" si="13"/>
        <v>89.936252315102678</v>
      </c>
      <c r="AM46">
        <f t="shared" si="13"/>
        <v>92.140448548831415</v>
      </c>
      <c r="AN46">
        <f t="shared" si="13"/>
        <v>94.384630403448909</v>
      </c>
      <c r="AO46">
        <f t="shared" si="13"/>
        <v>96.668797878955161</v>
      </c>
      <c r="AP46">
        <f t="shared" si="13"/>
        <v>98.992950975350197</v>
      </c>
      <c r="AQ46">
        <f t="shared" si="13"/>
        <v>101.35708969263396</v>
      </c>
      <c r="AR46">
        <f t="shared" si="13"/>
        <v>103.76121403080651</v>
      </c>
      <c r="AS46">
        <f t="shared" si="13"/>
        <v>106.20532398986782</v>
      </c>
      <c r="AT46">
        <f t="shared" si="13"/>
        <v>108.68941956981789</v>
      </c>
      <c r="AU46">
        <f t="shared" si="13"/>
        <v>111.21350077065672</v>
      </c>
      <c r="AV46">
        <f t="shared" si="13"/>
        <v>113.77756759238432</v>
      </c>
      <c r="AW46">
        <f t="shared" si="13"/>
        <v>116.38162003500068</v>
      </c>
      <c r="AX46">
        <f t="shared" si="11"/>
        <v>119.02565809850583</v>
      </c>
      <c r="AY46">
        <f t="shared" si="11"/>
        <v>121.70968178289971</v>
      </c>
      <c r="AZ46">
        <f t="shared" si="11"/>
        <v>124.43369108818237</v>
      </c>
      <c r="BA46">
        <f t="shared" si="11"/>
        <v>127.19768601435381</v>
      </c>
    </row>
    <row r="47" spans="2:53" x14ac:dyDescent="0.45">
      <c r="B47">
        <f t="shared" si="3"/>
        <v>8.4000000000000021</v>
      </c>
      <c r="C47">
        <f t="shared" si="14"/>
        <v>39.563298349025445</v>
      </c>
      <c r="D47">
        <f t="shared" si="14"/>
        <v>40.386073142579718</v>
      </c>
      <c r="E47">
        <f t="shared" si="14"/>
        <v>41.248833557022749</v>
      </c>
      <c r="F47">
        <f t="shared" si="14"/>
        <v>42.151579592354558</v>
      </c>
      <c r="G47">
        <f t="shared" si="14"/>
        <v>43.094311248575124</v>
      </c>
      <c r="H47">
        <f t="shared" si="14"/>
        <v>44.077028525684455</v>
      </c>
      <c r="I47">
        <f t="shared" si="14"/>
        <v>45.099731423682549</v>
      </c>
      <c r="J47">
        <f t="shared" si="14"/>
        <v>46.162419942569414</v>
      </c>
      <c r="K47">
        <f t="shared" si="14"/>
        <v>47.265094082345037</v>
      </c>
      <c r="L47">
        <f t="shared" si="14"/>
        <v>48.407753843009431</v>
      </c>
      <c r="M47">
        <f t="shared" si="14"/>
        <v>49.590399224562582</v>
      </c>
      <c r="N47">
        <f t="shared" si="14"/>
        <v>50.813030227004511</v>
      </c>
      <c r="O47">
        <f t="shared" si="14"/>
        <v>52.07564685033519</v>
      </c>
      <c r="P47">
        <f t="shared" si="14"/>
        <v>53.378249094554647</v>
      </c>
      <c r="Q47">
        <f t="shared" si="14"/>
        <v>54.720836959662869</v>
      </c>
      <c r="R47">
        <f t="shared" si="14"/>
        <v>56.103410445659847</v>
      </c>
      <c r="S47">
        <f t="shared" si="12"/>
        <v>57.525969552545597</v>
      </c>
      <c r="T47">
        <f t="shared" si="12"/>
        <v>58.988514280320118</v>
      </c>
      <c r="U47">
        <f t="shared" si="12"/>
        <v>60.491044628983389</v>
      </c>
      <c r="V47">
        <f t="shared" si="12"/>
        <v>62.033560598535431</v>
      </c>
      <c r="W47">
        <f t="shared" si="12"/>
        <v>63.616062188976244</v>
      </c>
      <c r="X47">
        <f t="shared" si="12"/>
        <v>65.2385494003058</v>
      </c>
      <c r="Y47">
        <f t="shared" si="12"/>
        <v>66.901022232524156</v>
      </c>
      <c r="Z47">
        <f t="shared" si="12"/>
        <v>68.603480685631254</v>
      </c>
      <c r="AA47">
        <f t="shared" si="12"/>
        <v>70.345924759627124</v>
      </c>
      <c r="AB47">
        <f t="shared" si="12"/>
        <v>72.128354454511751</v>
      </c>
      <c r="AC47">
        <f t="shared" si="12"/>
        <v>73.950769770285163</v>
      </c>
      <c r="AD47">
        <f t="shared" si="12"/>
        <v>75.813170706947318</v>
      </c>
      <c r="AE47">
        <f t="shared" si="12"/>
        <v>77.715557264498244</v>
      </c>
      <c r="AF47">
        <f t="shared" si="12"/>
        <v>79.657929442937942</v>
      </c>
      <c r="AG47">
        <f t="shared" si="12"/>
        <v>81.640287242266396</v>
      </c>
      <c r="AH47">
        <f t="shared" si="13"/>
        <v>83.662630662483622</v>
      </c>
      <c r="AI47">
        <f t="shared" si="13"/>
        <v>85.724959703589619</v>
      </c>
      <c r="AJ47">
        <f t="shared" si="13"/>
        <v>87.827274365584373</v>
      </c>
      <c r="AK47">
        <f t="shared" si="13"/>
        <v>89.969574648467884</v>
      </c>
      <c r="AL47">
        <f t="shared" si="13"/>
        <v>92.151860552240166</v>
      </c>
      <c r="AM47">
        <f t="shared" si="13"/>
        <v>94.374132076901219</v>
      </c>
      <c r="AN47">
        <f t="shared" si="13"/>
        <v>96.636389222451029</v>
      </c>
      <c r="AO47">
        <f t="shared" si="13"/>
        <v>98.938631988889597</v>
      </c>
      <c r="AP47">
        <f t="shared" si="13"/>
        <v>101.28086037621696</v>
      </c>
      <c r="AQ47">
        <f t="shared" si="13"/>
        <v>103.66307438443306</v>
      </c>
      <c r="AR47">
        <f t="shared" si="13"/>
        <v>106.08527401353791</v>
      </c>
      <c r="AS47">
        <f t="shared" si="13"/>
        <v>108.54745926353154</v>
      </c>
      <c r="AT47">
        <f t="shared" si="13"/>
        <v>111.04963013441392</v>
      </c>
      <c r="AU47">
        <f t="shared" si="13"/>
        <v>113.5917866261851</v>
      </c>
      <c r="AV47">
        <f t="shared" si="13"/>
        <v>116.17392873884502</v>
      </c>
      <c r="AW47">
        <f t="shared" si="13"/>
        <v>118.7960564723937</v>
      </c>
      <c r="AX47">
        <f t="shared" si="11"/>
        <v>121.45816982683115</v>
      </c>
      <c r="AY47">
        <f t="shared" si="11"/>
        <v>124.16026880215736</v>
      </c>
      <c r="AZ47">
        <f t="shared" si="11"/>
        <v>126.90235339837236</v>
      </c>
      <c r="BA47">
        <f t="shared" si="11"/>
        <v>129.68442361547608</v>
      </c>
    </row>
    <row r="48" spans="2:53" x14ac:dyDescent="0.45">
      <c r="B48">
        <f t="shared" si="3"/>
        <v>8.6000000000000014</v>
      </c>
      <c r="C48">
        <f t="shared" si="14"/>
        <v>41.181733034064834</v>
      </c>
      <c r="D48">
        <f t="shared" si="14"/>
        <v>42.022583118551424</v>
      </c>
      <c r="E48">
        <f t="shared" si="14"/>
        <v>42.903418823926778</v>
      </c>
      <c r="F48">
        <f t="shared" si="14"/>
        <v>43.824240150190903</v>
      </c>
      <c r="G48">
        <f t="shared" si="14"/>
        <v>44.785047097343785</v>
      </c>
      <c r="H48">
        <f t="shared" si="14"/>
        <v>45.785839665385438</v>
      </c>
      <c r="I48">
        <f t="shared" si="14"/>
        <v>46.826617854315856</v>
      </c>
      <c r="J48">
        <f t="shared" si="14"/>
        <v>47.907381664135045</v>
      </c>
      <c r="K48">
        <f t="shared" si="14"/>
        <v>49.02813109484299</v>
      </c>
      <c r="L48">
        <f t="shared" si="14"/>
        <v>50.1888661464397</v>
      </c>
      <c r="M48">
        <f t="shared" si="14"/>
        <v>51.389586818925174</v>
      </c>
      <c r="N48">
        <f t="shared" si="14"/>
        <v>52.63029311229942</v>
      </c>
      <c r="O48">
        <f t="shared" si="14"/>
        <v>53.910985026562422</v>
      </c>
      <c r="P48">
        <f t="shared" si="14"/>
        <v>55.231662561714195</v>
      </c>
      <c r="Q48">
        <f t="shared" si="14"/>
        <v>56.592325717754733</v>
      </c>
      <c r="R48">
        <f t="shared" si="14"/>
        <v>57.992974494684042</v>
      </c>
      <c r="S48">
        <f t="shared" si="12"/>
        <v>59.433608892502107</v>
      </c>
      <c r="T48">
        <f t="shared" si="12"/>
        <v>60.914228911208937</v>
      </c>
      <c r="U48">
        <f t="shared" si="12"/>
        <v>62.434834550804538</v>
      </c>
      <c r="V48">
        <f t="shared" si="12"/>
        <v>63.995425811288897</v>
      </c>
      <c r="W48">
        <f t="shared" si="12"/>
        <v>65.596002692662026</v>
      </c>
      <c r="X48">
        <f t="shared" si="12"/>
        <v>67.236565194923912</v>
      </c>
      <c r="Y48">
        <f t="shared" si="12"/>
        <v>68.91711331807457</v>
      </c>
      <c r="Z48">
        <f t="shared" si="12"/>
        <v>70.637647062114013</v>
      </c>
      <c r="AA48">
        <f t="shared" si="12"/>
        <v>72.398166427042199</v>
      </c>
      <c r="AB48">
        <f t="shared" si="12"/>
        <v>74.198671412859142</v>
      </c>
      <c r="AC48">
        <f t="shared" si="12"/>
        <v>76.039162019564856</v>
      </c>
      <c r="AD48">
        <f t="shared" si="12"/>
        <v>77.919638247159355</v>
      </c>
      <c r="AE48">
        <f t="shared" si="12"/>
        <v>79.840100095642583</v>
      </c>
      <c r="AF48">
        <f t="shared" si="12"/>
        <v>81.800547565014611</v>
      </c>
      <c r="AG48">
        <f t="shared" si="12"/>
        <v>83.800980655275382</v>
      </c>
      <c r="AH48">
        <f t="shared" si="13"/>
        <v>85.841399366424923</v>
      </c>
      <c r="AI48">
        <f t="shared" si="13"/>
        <v>87.921803698463236</v>
      </c>
      <c r="AJ48">
        <f t="shared" si="13"/>
        <v>90.042193651390306</v>
      </c>
      <c r="AK48">
        <f t="shared" si="13"/>
        <v>92.202569225206148</v>
      </c>
      <c r="AL48">
        <f t="shared" si="13"/>
        <v>94.40293041991076</v>
      </c>
      <c r="AM48">
        <f t="shared" si="13"/>
        <v>96.643277235504129</v>
      </c>
      <c r="AN48">
        <f t="shared" si="13"/>
        <v>98.923609671986256</v>
      </c>
      <c r="AO48">
        <f t="shared" si="13"/>
        <v>101.24392772935717</v>
      </c>
      <c r="AP48">
        <f t="shared" si="13"/>
        <v>103.60423140761682</v>
      </c>
      <c r="AQ48">
        <f t="shared" si="13"/>
        <v>106.00452070676523</v>
      </c>
      <c r="AR48">
        <f t="shared" si="13"/>
        <v>108.44479562680243</v>
      </c>
      <c r="AS48">
        <f t="shared" si="13"/>
        <v>110.92505616772837</v>
      </c>
      <c r="AT48">
        <f t="shared" si="13"/>
        <v>113.4453023295431</v>
      </c>
      <c r="AU48">
        <f t="shared" si="13"/>
        <v>116.00553411224655</v>
      </c>
      <c r="AV48">
        <f t="shared" si="13"/>
        <v>118.6057515158388</v>
      </c>
      <c r="AW48">
        <f t="shared" si="13"/>
        <v>121.24595454031981</v>
      </c>
      <c r="AX48">
        <f t="shared" si="11"/>
        <v>123.92614318568958</v>
      </c>
      <c r="AY48">
        <f t="shared" si="11"/>
        <v>126.64631745194811</v>
      </c>
      <c r="AZ48">
        <f t="shared" si="11"/>
        <v>129.4064773390954</v>
      </c>
      <c r="BA48">
        <f t="shared" si="11"/>
        <v>132.20662284713148</v>
      </c>
    </row>
    <row r="49" spans="2:53" x14ac:dyDescent="0.45">
      <c r="B49">
        <f t="shared" si="3"/>
        <v>8.8000000000000007</v>
      </c>
      <c r="C49">
        <f t="shared" si="14"/>
        <v>42.835629349637315</v>
      </c>
      <c r="D49">
        <f t="shared" si="14"/>
        <v>43.694554725056229</v>
      </c>
      <c r="E49">
        <f t="shared" si="14"/>
        <v>44.593465721363906</v>
      </c>
      <c r="F49">
        <f t="shared" si="14"/>
        <v>45.532362338560347</v>
      </c>
      <c r="G49">
        <f t="shared" si="14"/>
        <v>46.511244576645559</v>
      </c>
      <c r="H49">
        <f t="shared" si="14"/>
        <v>47.530112435619522</v>
      </c>
      <c r="I49">
        <f t="shared" si="14"/>
        <v>48.588965915482262</v>
      </c>
      <c r="J49">
        <f t="shared" si="14"/>
        <v>49.687805016233767</v>
      </c>
      <c r="K49">
        <f t="shared" si="14"/>
        <v>50.826629737874036</v>
      </c>
      <c r="L49">
        <f t="shared" si="14"/>
        <v>52.005440080403069</v>
      </c>
      <c r="M49">
        <f t="shared" si="14"/>
        <v>53.224236043820859</v>
      </c>
      <c r="N49">
        <f t="shared" si="14"/>
        <v>54.483017628127421</v>
      </c>
      <c r="O49">
        <f t="shared" si="14"/>
        <v>55.781784833322753</v>
      </c>
      <c r="P49">
        <f t="shared" si="14"/>
        <v>57.12053765940685</v>
      </c>
      <c r="Q49">
        <f t="shared" si="14"/>
        <v>58.499276106379703</v>
      </c>
      <c r="R49">
        <f t="shared" si="14"/>
        <v>59.918000174241328</v>
      </c>
      <c r="S49">
        <f t="shared" si="12"/>
        <v>61.37670986299171</v>
      </c>
      <c r="T49">
        <f t="shared" si="12"/>
        <v>62.875405172630863</v>
      </c>
      <c r="U49">
        <f t="shared" si="12"/>
        <v>64.41408610315878</v>
      </c>
      <c r="V49">
        <f t="shared" si="12"/>
        <v>65.992752654575469</v>
      </c>
      <c r="W49">
        <f t="shared" si="12"/>
        <v>67.611404826880914</v>
      </c>
      <c r="X49">
        <f t="shared" si="12"/>
        <v>69.270042620075131</v>
      </c>
      <c r="Y49">
        <f t="shared" si="12"/>
        <v>70.968666034158105</v>
      </c>
      <c r="Z49">
        <f t="shared" si="12"/>
        <v>72.707275069129849</v>
      </c>
      <c r="AA49">
        <f t="shared" si="12"/>
        <v>74.485869724990351</v>
      </c>
      <c r="AB49">
        <f t="shared" si="12"/>
        <v>76.304450001739639</v>
      </c>
      <c r="AC49">
        <f t="shared" si="12"/>
        <v>78.163015899377669</v>
      </c>
      <c r="AD49">
        <f t="shared" si="12"/>
        <v>80.06156741790447</v>
      </c>
      <c r="AE49">
        <f t="shared" si="12"/>
        <v>82.000104557320043</v>
      </c>
      <c r="AF49">
        <f t="shared" si="12"/>
        <v>83.978627317624372</v>
      </c>
      <c r="AG49">
        <f t="shared" si="12"/>
        <v>85.997135698817473</v>
      </c>
      <c r="AH49">
        <f t="shared" si="13"/>
        <v>88.055629700899345</v>
      </c>
      <c r="AI49">
        <f t="shared" si="13"/>
        <v>90.15410932386996</v>
      </c>
      <c r="AJ49">
        <f t="shared" si="13"/>
        <v>92.292574567729361</v>
      </c>
      <c r="AK49">
        <f t="shared" si="13"/>
        <v>94.471025432477518</v>
      </c>
      <c r="AL49">
        <f t="shared" si="13"/>
        <v>96.689461918114432</v>
      </c>
      <c r="AM49">
        <f t="shared" si="13"/>
        <v>98.947884024640146</v>
      </c>
      <c r="AN49">
        <f t="shared" si="13"/>
        <v>101.24629175205457</v>
      </c>
      <c r="AO49">
        <f t="shared" si="13"/>
        <v>103.5846851003578</v>
      </c>
      <c r="AP49">
        <f t="shared" si="13"/>
        <v>105.9630640695498</v>
      </c>
      <c r="AQ49">
        <f t="shared" si="13"/>
        <v>108.38142865963053</v>
      </c>
      <c r="AR49">
        <f t="shared" si="13"/>
        <v>110.83977887060003</v>
      </c>
      <c r="AS49">
        <f t="shared" si="13"/>
        <v>113.33811470245828</v>
      </c>
      <c r="AT49">
        <f t="shared" si="13"/>
        <v>115.87643615520531</v>
      </c>
      <c r="AU49">
        <f t="shared" si="13"/>
        <v>118.45474322884112</v>
      </c>
      <c r="AV49">
        <f t="shared" si="13"/>
        <v>121.07303592336569</v>
      </c>
      <c r="AW49">
        <f t="shared" si="13"/>
        <v>123.73131423877899</v>
      </c>
      <c r="AX49">
        <f t="shared" si="11"/>
        <v>126.4295781750811</v>
      </c>
      <c r="AY49">
        <f t="shared" si="11"/>
        <v>129.16782773227197</v>
      </c>
      <c r="AZ49">
        <f t="shared" si="11"/>
        <v>131.9460629103516</v>
      </c>
      <c r="BA49">
        <f t="shared" si="11"/>
        <v>134.76428370931995</v>
      </c>
    </row>
    <row r="50" spans="2:53" x14ac:dyDescent="0.45">
      <c r="B50">
        <f t="shared" si="3"/>
        <v>9</v>
      </c>
      <c r="C50">
        <f t="shared" si="14"/>
        <v>44.524987295742903</v>
      </c>
      <c r="D50">
        <f t="shared" si="14"/>
        <v>45.401987962094132</v>
      </c>
      <c r="E50">
        <f t="shared" si="14"/>
        <v>46.318974249334133</v>
      </c>
      <c r="F50">
        <f t="shared" si="14"/>
        <v>47.275946157462897</v>
      </c>
      <c r="G50">
        <f t="shared" si="14"/>
        <v>48.272903686480426</v>
      </c>
      <c r="H50">
        <f t="shared" si="14"/>
        <v>49.309846836386711</v>
      </c>
      <c r="I50">
        <f t="shared" si="14"/>
        <v>50.386775607181768</v>
      </c>
      <c r="J50">
        <f t="shared" si="14"/>
        <v>51.503689998865589</v>
      </c>
      <c r="K50">
        <f t="shared" si="14"/>
        <v>52.660590011438174</v>
      </c>
      <c r="L50">
        <f t="shared" si="14"/>
        <v>53.85747564489953</v>
      </c>
      <c r="M50">
        <f t="shared" si="14"/>
        <v>55.094346899249651</v>
      </c>
      <c r="N50">
        <f t="shared" si="14"/>
        <v>56.371203774488528</v>
      </c>
      <c r="O50">
        <f t="shared" si="14"/>
        <v>57.688046270616169</v>
      </c>
      <c r="P50">
        <f t="shared" si="14"/>
        <v>59.044874387632596</v>
      </c>
      <c r="Q50">
        <f t="shared" si="14"/>
        <v>60.441688125537773</v>
      </c>
      <c r="R50">
        <f t="shared" si="14"/>
        <v>61.878487484331714</v>
      </c>
      <c r="S50">
        <f t="shared" si="12"/>
        <v>63.355272464014419</v>
      </c>
      <c r="T50">
        <f t="shared" si="12"/>
        <v>64.872043064585895</v>
      </c>
      <c r="U50">
        <f t="shared" si="12"/>
        <v>66.428799286046129</v>
      </c>
      <c r="V50">
        <f t="shared" si="12"/>
        <v>68.025541128395133</v>
      </c>
      <c r="W50">
        <f t="shared" si="12"/>
        <v>69.662268591632895</v>
      </c>
      <c r="X50">
        <f t="shared" si="12"/>
        <v>71.338981675759442</v>
      </c>
      <c r="Y50">
        <f t="shared" si="12"/>
        <v>73.055680380774731</v>
      </c>
      <c r="Z50">
        <f t="shared" si="12"/>
        <v>74.812364706678792</v>
      </c>
      <c r="AA50">
        <f t="shared" si="12"/>
        <v>76.609034653471625</v>
      </c>
      <c r="AB50">
        <f t="shared" si="12"/>
        <v>78.445690221153214</v>
      </c>
      <c r="AC50">
        <f t="shared" si="12"/>
        <v>80.322331409723574</v>
      </c>
      <c r="AD50">
        <f t="shared" si="12"/>
        <v>82.238958219182706</v>
      </c>
      <c r="AE50">
        <f t="shared" si="12"/>
        <v>84.195570649530595</v>
      </c>
      <c r="AF50">
        <f t="shared" si="12"/>
        <v>86.19216870076724</v>
      </c>
      <c r="AG50">
        <f t="shared" si="12"/>
        <v>88.228752372892657</v>
      </c>
      <c r="AH50">
        <f t="shared" si="13"/>
        <v>90.305321665906831</v>
      </c>
      <c r="AI50">
        <f t="shared" si="13"/>
        <v>92.421876579809791</v>
      </c>
      <c r="AJ50">
        <f t="shared" si="13"/>
        <v>94.578417114601507</v>
      </c>
      <c r="AK50">
        <f t="shared" si="13"/>
        <v>96.774943270281995</v>
      </c>
      <c r="AL50">
        <f t="shared" si="13"/>
        <v>99.011455046851225</v>
      </c>
      <c r="AM50">
        <f t="shared" si="13"/>
        <v>101.28795244430924</v>
      </c>
      <c r="AN50">
        <f t="shared" si="13"/>
        <v>103.604435462656</v>
      </c>
      <c r="AO50">
        <f t="shared" si="13"/>
        <v>105.96090410189154</v>
      </c>
      <c r="AP50">
        <f t="shared" si="13"/>
        <v>108.35735836201586</v>
      </c>
      <c r="AQ50">
        <f t="shared" si="13"/>
        <v>110.79379824302892</v>
      </c>
      <c r="AR50">
        <f t="shared" si="13"/>
        <v>113.27022374493075</v>
      </c>
      <c r="AS50">
        <f t="shared" si="13"/>
        <v>115.78663486772132</v>
      </c>
      <c r="AT50">
        <f t="shared" si="13"/>
        <v>118.34303161140066</v>
      </c>
      <c r="AU50">
        <f t="shared" si="13"/>
        <v>120.93941397596879</v>
      </c>
      <c r="AV50">
        <f t="shared" si="13"/>
        <v>123.57578196142568</v>
      </c>
      <c r="AW50">
        <f t="shared" si="13"/>
        <v>126.25213556777132</v>
      </c>
      <c r="AX50">
        <f t="shared" si="11"/>
        <v>128.96847479500573</v>
      </c>
      <c r="AY50">
        <f t="shared" si="11"/>
        <v>131.7247996431289</v>
      </c>
      <c r="AZ50">
        <f t="shared" si="11"/>
        <v>134.52111011214086</v>
      </c>
      <c r="BA50">
        <f t="shared" si="11"/>
        <v>137.35740620204155</v>
      </c>
    </row>
    <row r="51" spans="2:53" x14ac:dyDescent="0.45">
      <c r="B51">
        <f t="shared" si="3"/>
        <v>9.1999999999999993</v>
      </c>
      <c r="C51">
        <f t="shared" si="14"/>
        <v>46.24980687238159</v>
      </c>
      <c r="D51">
        <f t="shared" si="14"/>
        <v>47.144882829665143</v>
      </c>
      <c r="E51">
        <f t="shared" si="14"/>
        <v>48.079944407837459</v>
      </c>
      <c r="F51">
        <f t="shared" si="14"/>
        <v>49.05499160689854</v>
      </c>
      <c r="G51">
        <f t="shared" si="14"/>
        <v>50.070024426848384</v>
      </c>
      <c r="H51">
        <f t="shared" si="14"/>
        <v>51.125042867687</v>
      </c>
      <c r="I51">
        <f t="shared" si="14"/>
        <v>52.22004692941438</v>
      </c>
      <c r="J51">
        <f t="shared" si="14"/>
        <v>53.355036612030517</v>
      </c>
      <c r="K51">
        <f t="shared" si="14"/>
        <v>54.530011915535425</v>
      </c>
      <c r="L51">
        <f t="shared" si="14"/>
        <v>55.744972839929098</v>
      </c>
      <c r="M51">
        <f t="shared" si="14"/>
        <v>56.999919385211534</v>
      </c>
      <c r="N51">
        <f t="shared" si="14"/>
        <v>58.294851551382735</v>
      </c>
      <c r="O51">
        <f t="shared" si="14"/>
        <v>59.629769338442706</v>
      </c>
      <c r="P51">
        <f t="shared" si="14"/>
        <v>61.004672746391435</v>
      </c>
      <c r="Q51">
        <f t="shared" si="14"/>
        <v>62.419561775228935</v>
      </c>
      <c r="R51">
        <f t="shared" si="14"/>
        <v>63.874436424955192</v>
      </c>
      <c r="S51">
        <f t="shared" si="12"/>
        <v>65.369296695570227</v>
      </c>
      <c r="T51">
        <f t="shared" si="12"/>
        <v>66.90414258707402</v>
      </c>
      <c r="U51">
        <f t="shared" si="12"/>
        <v>68.478974099466583</v>
      </c>
      <c r="V51">
        <f t="shared" si="12"/>
        <v>70.093791232747904</v>
      </c>
      <c r="W51">
        <f t="shared" si="12"/>
        <v>71.748593986917982</v>
      </c>
      <c r="X51">
        <f t="shared" si="12"/>
        <v>73.443382361976845</v>
      </c>
      <c r="Y51">
        <f t="shared" si="12"/>
        <v>75.178156357924465</v>
      </c>
      <c r="Z51">
        <f t="shared" si="12"/>
        <v>76.952915974760842</v>
      </c>
      <c r="AA51">
        <f t="shared" si="12"/>
        <v>78.76766121248599</v>
      </c>
      <c r="AB51">
        <f t="shared" si="12"/>
        <v>80.62239207109991</v>
      </c>
      <c r="AC51">
        <f t="shared" si="12"/>
        <v>82.517108550602586</v>
      </c>
      <c r="AD51">
        <f t="shared" si="12"/>
        <v>84.45181065099402</v>
      </c>
      <c r="AE51">
        <f t="shared" si="12"/>
        <v>86.426498372274239</v>
      </c>
      <c r="AF51">
        <f t="shared" si="12"/>
        <v>88.4411717144432</v>
      </c>
      <c r="AG51">
        <f t="shared" si="12"/>
        <v>90.495830677500933</v>
      </c>
      <c r="AH51">
        <f t="shared" si="13"/>
        <v>92.590475261447452</v>
      </c>
      <c r="AI51">
        <f t="shared" si="13"/>
        <v>94.725105466282713</v>
      </c>
      <c r="AJ51">
        <f t="shared" si="13"/>
        <v>96.899721292006745</v>
      </c>
      <c r="AK51">
        <f t="shared" si="13"/>
        <v>99.114322738619549</v>
      </c>
      <c r="AL51">
        <f t="shared" si="13"/>
        <v>101.36890980612111</v>
      </c>
      <c r="AM51">
        <f t="shared" si="13"/>
        <v>103.66348249451146</v>
      </c>
      <c r="AN51">
        <f t="shared" si="13"/>
        <v>105.99804080379054</v>
      </c>
      <c r="AO51">
        <f t="shared" si="13"/>
        <v>108.3725847339584</v>
      </c>
      <c r="AP51">
        <f t="shared" si="13"/>
        <v>110.78711428501504</v>
      </c>
      <c r="AQ51">
        <f t="shared" si="13"/>
        <v>113.2416294569604</v>
      </c>
      <c r="AR51">
        <f t="shared" si="13"/>
        <v>115.73613024979456</v>
      </c>
      <c r="AS51">
        <f t="shared" si="13"/>
        <v>118.27061666351744</v>
      </c>
      <c r="AT51">
        <f t="shared" si="13"/>
        <v>120.84508869812912</v>
      </c>
      <c r="AU51">
        <f t="shared" si="13"/>
        <v>123.45954635362956</v>
      </c>
      <c r="AV51">
        <f t="shared" si="13"/>
        <v>126.11398963001875</v>
      </c>
      <c r="AW51">
        <f t="shared" si="13"/>
        <v>128.80841852729674</v>
      </c>
      <c r="AX51">
        <f t="shared" si="11"/>
        <v>131.54283304546345</v>
      </c>
      <c r="AY51">
        <f t="shared" si="11"/>
        <v>134.31723318451895</v>
      </c>
      <c r="AZ51">
        <f t="shared" si="11"/>
        <v>137.13161894446321</v>
      </c>
      <c r="BA51">
        <f t="shared" si="11"/>
        <v>139.98599032529623</v>
      </c>
    </row>
    <row r="52" spans="2:53" x14ac:dyDescent="0.45">
      <c r="B52">
        <f t="shared" si="3"/>
        <v>9.3999999999999986</v>
      </c>
      <c r="C52">
        <f t="shared" si="14"/>
        <v>48.01008807955337</v>
      </c>
      <c r="D52">
        <f t="shared" si="14"/>
        <v>48.923239327769245</v>
      </c>
      <c r="E52">
        <f t="shared" si="14"/>
        <v>49.876376196873885</v>
      </c>
      <c r="F52">
        <f t="shared" si="14"/>
        <v>50.869498686867281</v>
      </c>
      <c r="G52">
        <f t="shared" si="14"/>
        <v>51.902606797749449</v>
      </c>
      <c r="H52">
        <f t="shared" si="14"/>
        <v>52.975700529520381</v>
      </c>
      <c r="I52">
        <f t="shared" si="14"/>
        <v>54.088779882180084</v>
      </c>
      <c r="J52">
        <f t="shared" si="14"/>
        <v>55.241844855728544</v>
      </c>
      <c r="K52">
        <f t="shared" si="14"/>
        <v>56.434895450165769</v>
      </c>
      <c r="L52">
        <f t="shared" si="14"/>
        <v>57.667931665491764</v>
      </c>
      <c r="M52">
        <f t="shared" si="14"/>
        <v>58.940953501706517</v>
      </c>
      <c r="N52">
        <f t="shared" si="14"/>
        <v>60.25396095881004</v>
      </c>
      <c r="O52">
        <f t="shared" si="14"/>
        <v>61.606954036802321</v>
      </c>
      <c r="P52">
        <f t="shared" si="14"/>
        <v>62.99993273568338</v>
      </c>
      <c r="Q52">
        <f t="shared" si="14"/>
        <v>64.432897055453196</v>
      </c>
      <c r="R52">
        <f t="shared" si="14"/>
        <v>65.905846996111777</v>
      </c>
      <c r="S52">
        <f t="shared" si="12"/>
        <v>67.418782557659128</v>
      </c>
      <c r="T52">
        <f t="shared" si="12"/>
        <v>68.971703740095236</v>
      </c>
      <c r="U52">
        <f t="shared" si="12"/>
        <v>70.564610543420116</v>
      </c>
      <c r="V52">
        <f t="shared" si="12"/>
        <v>72.197502967633767</v>
      </c>
      <c r="W52">
        <f t="shared" si="12"/>
        <v>73.870381012736161</v>
      </c>
      <c r="X52">
        <f t="shared" si="12"/>
        <v>75.58324467872734</v>
      </c>
      <c r="Y52">
        <f t="shared" si="12"/>
        <v>77.336093965607276</v>
      </c>
      <c r="Z52">
        <f t="shared" si="12"/>
        <v>79.128928873375983</v>
      </c>
      <c r="AA52">
        <f t="shared" si="12"/>
        <v>80.961749402033462</v>
      </c>
      <c r="AB52">
        <f t="shared" si="12"/>
        <v>82.834555551579683</v>
      </c>
      <c r="AC52">
        <f t="shared" si="12"/>
        <v>84.74734732201469</v>
      </c>
      <c r="AD52">
        <f t="shared" si="12"/>
        <v>86.700124713338454</v>
      </c>
      <c r="AE52">
        <f t="shared" si="12"/>
        <v>88.692887725550975</v>
      </c>
      <c r="AF52">
        <f t="shared" si="12"/>
        <v>90.725636358652267</v>
      </c>
      <c r="AG52">
        <f t="shared" si="12"/>
        <v>92.798370612642344</v>
      </c>
      <c r="AH52">
        <f t="shared" si="13"/>
        <v>94.911090487521165</v>
      </c>
      <c r="AI52">
        <f t="shared" si="13"/>
        <v>97.063795983288742</v>
      </c>
      <c r="AJ52">
        <f t="shared" si="13"/>
        <v>99.256487099945105</v>
      </c>
      <c r="AK52">
        <f t="shared" si="13"/>
        <v>101.48916383749021</v>
      </c>
      <c r="AL52">
        <f t="shared" si="13"/>
        <v>103.7618261959241</v>
      </c>
      <c r="AM52">
        <f t="shared" si="13"/>
        <v>106.07447417524675</v>
      </c>
      <c r="AN52">
        <f t="shared" si="13"/>
        <v>108.42710777545817</v>
      </c>
      <c r="AO52">
        <f t="shared" si="13"/>
        <v>110.81972699655834</v>
      </c>
      <c r="AP52">
        <f t="shared" si="13"/>
        <v>113.25233183854729</v>
      </c>
      <c r="AQ52">
        <f t="shared" si="13"/>
        <v>115.72492230142498</v>
      </c>
      <c r="AR52">
        <f t="shared" si="13"/>
        <v>118.23749838519144</v>
      </c>
      <c r="AS52">
        <f t="shared" si="13"/>
        <v>120.79006008984668</v>
      </c>
      <c r="AT52">
        <f t="shared" si="13"/>
        <v>123.38260741539067</v>
      </c>
      <c r="AU52">
        <f t="shared" si="13"/>
        <v>126.01514036182341</v>
      </c>
      <c r="AV52">
        <f t="shared" si="13"/>
        <v>128.68765892914496</v>
      </c>
      <c r="AW52">
        <f t="shared" si="13"/>
        <v>131.40016311735522</v>
      </c>
      <c r="AX52">
        <f t="shared" si="11"/>
        <v>134.15265292645427</v>
      </c>
      <c r="AY52">
        <f t="shared" si="11"/>
        <v>136.9451283564421</v>
      </c>
      <c r="AZ52">
        <f t="shared" si="11"/>
        <v>139.77758940731869</v>
      </c>
      <c r="BA52">
        <f t="shared" si="11"/>
        <v>142.650036079084</v>
      </c>
    </row>
    <row r="53" spans="2:53" x14ac:dyDescent="0.45">
      <c r="B53">
        <f t="shared" si="3"/>
        <v>9.5999999999999979</v>
      </c>
      <c r="C53">
        <f t="shared" si="14"/>
        <v>49.805830917258255</v>
      </c>
      <c r="D53">
        <f t="shared" si="14"/>
        <v>50.737057456406454</v>
      </c>
      <c r="E53">
        <f t="shared" si="14"/>
        <v>51.70826961644341</v>
      </c>
      <c r="F53">
        <f t="shared" si="14"/>
        <v>52.719467397369129</v>
      </c>
      <c r="G53">
        <f t="shared" si="14"/>
        <v>53.770650799183613</v>
      </c>
      <c r="H53">
        <f t="shared" si="14"/>
        <v>54.861819821886868</v>
      </c>
      <c r="I53">
        <f t="shared" si="14"/>
        <v>55.992974465478888</v>
      </c>
      <c r="J53">
        <f t="shared" si="14"/>
        <v>57.164114729959664</v>
      </c>
      <c r="K53">
        <f t="shared" si="14"/>
        <v>58.375240615329211</v>
      </c>
      <c r="L53">
        <f t="shared" si="14"/>
        <v>59.62635212158753</v>
      </c>
      <c r="M53">
        <f t="shared" si="14"/>
        <v>60.917449248734599</v>
      </c>
      <c r="N53">
        <f t="shared" si="14"/>
        <v>62.248531996770446</v>
      </c>
      <c r="O53">
        <f t="shared" si="14"/>
        <v>63.61960036569505</v>
      </c>
      <c r="P53">
        <f t="shared" si="14"/>
        <v>65.030654355508432</v>
      </c>
      <c r="Q53">
        <f t="shared" si="14"/>
        <v>66.481693966210557</v>
      </c>
      <c r="R53">
        <f t="shared" si="14"/>
        <v>67.972719197801467</v>
      </c>
      <c r="S53">
        <f t="shared" si="12"/>
        <v>69.503730050281135</v>
      </c>
      <c r="T53">
        <f t="shared" si="12"/>
        <v>71.074726523649559</v>
      </c>
      <c r="U53">
        <f t="shared" si="12"/>
        <v>72.685708617906769</v>
      </c>
      <c r="V53">
        <f t="shared" si="12"/>
        <v>74.336676333052736</v>
      </c>
      <c r="W53">
        <f t="shared" si="12"/>
        <v>76.02762966908746</v>
      </c>
      <c r="X53">
        <f t="shared" si="12"/>
        <v>77.758568626010941</v>
      </c>
      <c r="Y53">
        <f t="shared" si="12"/>
        <v>79.529493203823208</v>
      </c>
      <c r="Z53">
        <f t="shared" si="12"/>
        <v>81.340403402524231</v>
      </c>
      <c r="AA53">
        <f t="shared" si="12"/>
        <v>83.191299222114012</v>
      </c>
      <c r="AB53">
        <f t="shared" si="12"/>
        <v>85.082180662592563</v>
      </c>
      <c r="AC53">
        <f t="shared" si="12"/>
        <v>87.013047723959886</v>
      </c>
      <c r="AD53">
        <f t="shared" si="12"/>
        <v>88.983900406215966</v>
      </c>
      <c r="AE53">
        <f t="shared" si="12"/>
        <v>90.994738709360817</v>
      </c>
      <c r="AF53">
        <f t="shared" si="12"/>
        <v>93.045562633394439</v>
      </c>
      <c r="AG53">
        <f t="shared" si="12"/>
        <v>95.136372178316819</v>
      </c>
      <c r="AH53">
        <f t="shared" si="13"/>
        <v>97.267167344127955</v>
      </c>
      <c r="AI53">
        <f t="shared" si="13"/>
        <v>99.437948130827877</v>
      </c>
      <c r="AJ53">
        <f t="shared" si="13"/>
        <v>101.64871453841654</v>
      </c>
      <c r="AK53">
        <f t="shared" si="13"/>
        <v>103.89946656689398</v>
      </c>
      <c r="AL53">
        <f t="shared" si="13"/>
        <v>106.19020421626017</v>
      </c>
      <c r="AM53">
        <f t="shared" si="13"/>
        <v>108.52092748651515</v>
      </c>
      <c r="AN53">
        <f t="shared" si="13"/>
        <v>110.89163637765888</v>
      </c>
      <c r="AO53">
        <f t="shared" si="13"/>
        <v>113.30233088969138</v>
      </c>
      <c r="AP53">
        <f t="shared" si="13"/>
        <v>115.75301102261265</v>
      </c>
      <c r="AQ53">
        <f t="shared" si="13"/>
        <v>118.24367677642266</v>
      </c>
      <c r="AR53">
        <f t="shared" si="13"/>
        <v>120.77432815112147</v>
      </c>
      <c r="AS53">
        <f t="shared" si="13"/>
        <v>123.344965146709</v>
      </c>
      <c r="AT53">
        <f t="shared" si="13"/>
        <v>125.95558776318532</v>
      </c>
      <c r="AU53">
        <f t="shared" si="13"/>
        <v>128.60619600055037</v>
      </c>
      <c r="AV53">
        <f t="shared" si="13"/>
        <v>131.29678985880423</v>
      </c>
      <c r="AW53">
        <f t="shared" si="13"/>
        <v>134.02736933794685</v>
      </c>
      <c r="AX53">
        <f t="shared" si="11"/>
        <v>136.7979344379782</v>
      </c>
      <c r="AY53">
        <f t="shared" si="11"/>
        <v>139.60848515889833</v>
      </c>
      <c r="AZ53">
        <f t="shared" si="11"/>
        <v>142.45902150070725</v>
      </c>
      <c r="BA53">
        <f t="shared" si="11"/>
        <v>145.3495434634049</v>
      </c>
    </row>
    <row r="54" spans="2:53" x14ac:dyDescent="0.45">
      <c r="B54">
        <f t="shared" si="3"/>
        <v>9.7999999999999972</v>
      </c>
      <c r="C54">
        <f t="shared" si="14"/>
        <v>51.637035385496247</v>
      </c>
      <c r="D54">
        <f t="shared" si="14"/>
        <v>52.586337215576755</v>
      </c>
      <c r="E54">
        <f t="shared" si="14"/>
        <v>53.575624666546041</v>
      </c>
      <c r="F54">
        <f t="shared" si="14"/>
        <v>54.604897738404077</v>
      </c>
      <c r="G54">
        <f t="shared" si="14"/>
        <v>55.674156431150891</v>
      </c>
      <c r="H54">
        <f t="shared" si="14"/>
        <v>56.783400744786455</v>
      </c>
      <c r="I54">
        <f t="shared" si="14"/>
        <v>57.93263067931079</v>
      </c>
      <c r="J54">
        <f t="shared" si="14"/>
        <v>59.121846234723897</v>
      </c>
      <c r="K54">
        <f t="shared" si="14"/>
        <v>60.35104741102576</v>
      </c>
      <c r="L54">
        <f t="shared" si="14"/>
        <v>61.620234208216388</v>
      </c>
      <c r="M54">
        <f t="shared" si="14"/>
        <v>62.929406626295794</v>
      </c>
      <c r="N54">
        <f t="shared" si="14"/>
        <v>64.278564665263957</v>
      </c>
      <c r="O54">
        <f t="shared" si="14"/>
        <v>65.66770832512087</v>
      </c>
      <c r="P54">
        <f t="shared" si="14"/>
        <v>67.096837605866583</v>
      </c>
      <c r="Q54">
        <f t="shared" si="14"/>
        <v>68.565952507501038</v>
      </c>
      <c r="R54">
        <f t="shared" si="14"/>
        <v>70.075053030024264</v>
      </c>
      <c r="S54">
        <f t="shared" si="12"/>
        <v>71.624139173436248</v>
      </c>
      <c r="T54">
        <f t="shared" si="12"/>
        <v>73.213210937737003</v>
      </c>
      <c r="U54">
        <f t="shared" si="12"/>
        <v>74.842268322926515</v>
      </c>
      <c r="V54">
        <f t="shared" si="12"/>
        <v>76.511311329004798</v>
      </c>
      <c r="W54">
        <f t="shared" si="12"/>
        <v>78.220339955971838</v>
      </c>
      <c r="X54">
        <f t="shared" si="12"/>
        <v>79.969354203827663</v>
      </c>
      <c r="Y54">
        <f t="shared" si="12"/>
        <v>81.758354072572232</v>
      </c>
      <c r="Z54">
        <f t="shared" si="12"/>
        <v>83.587339562205585</v>
      </c>
      <c r="AA54">
        <f t="shared" si="12"/>
        <v>85.456310672727682</v>
      </c>
      <c r="AB54">
        <f t="shared" si="12"/>
        <v>87.365267404138564</v>
      </c>
      <c r="AC54">
        <f t="shared" si="12"/>
        <v>89.314209756438203</v>
      </c>
      <c r="AD54">
        <f t="shared" si="12"/>
        <v>91.303137729626599</v>
      </c>
      <c r="AE54">
        <f t="shared" si="12"/>
        <v>93.33205132370378</v>
      </c>
      <c r="AF54">
        <f t="shared" si="12"/>
        <v>95.400950538669704</v>
      </c>
      <c r="AG54">
        <f t="shared" si="12"/>
        <v>97.5098353745244</v>
      </c>
      <c r="AH54">
        <f t="shared" si="13"/>
        <v>99.658705831267866</v>
      </c>
      <c r="AI54">
        <f t="shared" si="13"/>
        <v>101.8475619089001</v>
      </c>
      <c r="AJ54">
        <f t="shared" si="13"/>
        <v>104.0764036074211</v>
      </c>
      <c r="AK54">
        <f t="shared" si="13"/>
        <v>106.34523092683085</v>
      </c>
      <c r="AL54">
        <f t="shared" si="13"/>
        <v>108.65404386712939</v>
      </c>
      <c r="AM54">
        <f t="shared" si="13"/>
        <v>111.00284242831665</v>
      </c>
      <c r="AN54">
        <f t="shared" si="13"/>
        <v>113.39162661039273</v>
      </c>
      <c r="AO54">
        <f t="shared" si="13"/>
        <v>115.82039641335754</v>
      </c>
      <c r="AP54">
        <f t="shared" si="13"/>
        <v>118.28915183721112</v>
      </c>
      <c r="AQ54">
        <f t="shared" si="13"/>
        <v>120.79789288195346</v>
      </c>
      <c r="AR54">
        <f t="shared" si="13"/>
        <v>123.34661954758457</v>
      </c>
      <c r="AS54">
        <f t="shared" si="13"/>
        <v>125.93533183410443</v>
      </c>
      <c r="AT54">
        <f t="shared" si="13"/>
        <v>128.56402974151305</v>
      </c>
      <c r="AU54">
        <f t="shared" si="13"/>
        <v>131.23271326981046</v>
      </c>
      <c r="AV54">
        <f t="shared" si="13"/>
        <v>133.94138241899662</v>
      </c>
      <c r="AW54">
        <f t="shared" si="13"/>
        <v>136.69003718907155</v>
      </c>
      <c r="AX54">
        <f t="shared" si="11"/>
        <v>139.47867758003522</v>
      </c>
      <c r="AY54">
        <f t="shared" si="11"/>
        <v>142.30730359188766</v>
      </c>
      <c r="AZ54">
        <f t="shared" si="11"/>
        <v>145.17591522462891</v>
      </c>
      <c r="BA54">
        <f t="shared" si="11"/>
        <v>148.08451247825889</v>
      </c>
    </row>
    <row r="55" spans="2:53" x14ac:dyDescent="0.45">
      <c r="B55">
        <f t="shared" si="3"/>
        <v>9.9999999999999964</v>
      </c>
      <c r="C55">
        <f t="shared" si="14"/>
        <v>53.503701484267339</v>
      </c>
      <c r="D55">
        <f t="shared" si="14"/>
        <v>54.471078605280169</v>
      </c>
      <c r="E55">
        <f t="shared" si="14"/>
        <v>55.478441347181764</v>
      </c>
      <c r="F55">
        <f t="shared" si="14"/>
        <v>56.52578970997213</v>
      </c>
      <c r="G55">
        <f t="shared" si="14"/>
        <v>57.613123693651261</v>
      </c>
      <c r="H55">
        <f t="shared" si="14"/>
        <v>58.740443298219148</v>
      </c>
      <c r="I55">
        <f t="shared" si="14"/>
        <v>59.907748523675806</v>
      </c>
      <c r="J55">
        <f t="shared" si="14"/>
        <v>61.115039370021229</v>
      </c>
      <c r="K55">
        <f t="shared" si="14"/>
        <v>62.362315837255409</v>
      </c>
      <c r="L55">
        <f t="shared" si="14"/>
        <v>63.649577925378367</v>
      </c>
      <c r="M55">
        <f t="shared" si="14"/>
        <v>64.976825634390082</v>
      </c>
      <c r="N55">
        <f t="shared" si="14"/>
        <v>66.344058964290568</v>
      </c>
      <c r="O55">
        <f t="shared" si="14"/>
        <v>67.751277915079811</v>
      </c>
      <c r="P55">
        <f t="shared" si="14"/>
        <v>69.198482486757825</v>
      </c>
      <c r="Q55">
        <f t="shared" si="14"/>
        <v>70.685672679324597</v>
      </c>
      <c r="R55">
        <f t="shared" si="14"/>
        <v>72.21284849278014</v>
      </c>
      <c r="S55">
        <f t="shared" si="12"/>
        <v>73.780009927124453</v>
      </c>
      <c r="T55">
        <f t="shared" si="12"/>
        <v>75.387156982357524</v>
      </c>
      <c r="U55">
        <f t="shared" si="12"/>
        <v>77.034289658479366</v>
      </c>
      <c r="V55">
        <f t="shared" si="12"/>
        <v>78.721407955489966</v>
      </c>
      <c r="W55">
        <f t="shared" si="12"/>
        <v>80.448511873389336</v>
      </c>
      <c r="X55">
        <f t="shared" si="12"/>
        <v>82.215601412177463</v>
      </c>
      <c r="Y55">
        <f t="shared" si="12"/>
        <v>84.022676571854362</v>
      </c>
      <c r="Z55">
        <f t="shared" si="12"/>
        <v>85.869737352420032</v>
      </c>
      <c r="AA55">
        <f t="shared" si="12"/>
        <v>87.756783753874458</v>
      </c>
      <c r="AB55">
        <f t="shared" si="12"/>
        <v>89.683815776217642</v>
      </c>
      <c r="AC55">
        <f t="shared" si="12"/>
        <v>91.650833419449611</v>
      </c>
      <c r="AD55">
        <f t="shared" si="12"/>
        <v>93.657836683570338</v>
      </c>
      <c r="AE55">
        <f t="shared" si="12"/>
        <v>95.704825568579821</v>
      </c>
      <c r="AF55">
        <f t="shared" si="12"/>
        <v>97.791800074478076</v>
      </c>
      <c r="AG55">
        <f t="shared" si="12"/>
        <v>99.918760201265087</v>
      </c>
      <c r="AH55">
        <f t="shared" si="13"/>
        <v>102.08570594894087</v>
      </c>
      <c r="AI55">
        <f t="shared" si="13"/>
        <v>104.29263731750542</v>
      </c>
      <c r="AJ55">
        <f t="shared" si="13"/>
        <v>106.53955430695873</v>
      </c>
      <c r="AK55">
        <f t="shared" si="13"/>
        <v>108.82645691730082</v>
      </c>
      <c r="AL55">
        <f t="shared" si="13"/>
        <v>111.15334514853166</v>
      </c>
      <c r="AM55">
        <f t="shared" si="13"/>
        <v>113.52021900065128</v>
      </c>
      <c r="AN55">
        <f t="shared" si="13"/>
        <v>115.92707847365963</v>
      </c>
      <c r="AO55">
        <f t="shared" si="13"/>
        <v>118.37392356755677</v>
      </c>
      <c r="AP55">
        <f t="shared" si="13"/>
        <v>120.8607542823427</v>
      </c>
      <c r="AQ55">
        <f t="shared" si="13"/>
        <v>123.38757061801735</v>
      </c>
      <c r="AR55">
        <f t="shared" si="13"/>
        <v>125.95437257458077</v>
      </c>
      <c r="AS55">
        <f t="shared" si="13"/>
        <v>128.56116015203295</v>
      </c>
      <c r="AT55">
        <f t="shared" si="13"/>
        <v>131.20793335037391</v>
      </c>
      <c r="AU55">
        <f t="shared" si="13"/>
        <v>133.89469216960364</v>
      </c>
      <c r="AV55">
        <f t="shared" si="13"/>
        <v>136.62143660972211</v>
      </c>
      <c r="AW55">
        <f t="shared" si="13"/>
        <v>139.38816667072933</v>
      </c>
      <c r="AX55">
        <f t="shared" si="11"/>
        <v>142.19488235262537</v>
      </c>
      <c r="AY55">
        <f t="shared" si="11"/>
        <v>145.04158365541014</v>
      </c>
      <c r="AZ55">
        <f t="shared" si="11"/>
        <v>147.92827057908369</v>
      </c>
      <c r="BA55">
        <f t="shared" si="11"/>
        <v>150.85494312364597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Линейная парная регрессия</vt:lpstr>
      <vt:lpstr>Нелинейная парная регрессия</vt:lpstr>
      <vt:lpstr>Множественная нелинейная регрес</vt:lpstr>
      <vt:lpstr>Нелинейная поверхность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</dc:creator>
  <cp:lastModifiedBy>Yar</cp:lastModifiedBy>
  <dcterms:created xsi:type="dcterms:W3CDTF">2026-02-24T09:46:16Z</dcterms:created>
  <dcterms:modified xsi:type="dcterms:W3CDTF">2026-03-18T18:04:45Z</dcterms:modified>
</cp:coreProperties>
</file>