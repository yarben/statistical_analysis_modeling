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lnius\"/>
    </mc:Choice>
  </mc:AlternateContent>
  <xr:revisionPtr revIDLastSave="0" documentId="13_ncr:1_{03D72DB4-9E6A-49ED-AA62-912B2D9C19AE}" xr6:coauthVersionLast="38" xr6:coauthVersionMax="38" xr10:uidLastSave="{00000000-0000-0000-0000-000000000000}"/>
  <bookViews>
    <workbookView xWindow="0" yWindow="0" windowWidth="19200" windowHeight="6870" activeTab="3" xr2:uid="{08C4BACB-CB8E-4E3C-9696-28DD6FE41F11}"/>
  </bookViews>
  <sheets>
    <sheet name="1.1.1. Бернулли" sheetId="1" r:id="rId1"/>
    <sheet name="1.1.2. Биномиальное" sheetId="2" r:id="rId2"/>
    <sheet name="1.1.3. Пуассона" sheetId="3" r:id="rId3"/>
    <sheet name="1.1.4. Дискретное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2" l="1"/>
  <c r="I41" i="2"/>
  <c r="I40" i="2"/>
  <c r="I39" i="2"/>
  <c r="I38" i="2"/>
  <c r="I37" i="2"/>
  <c r="L33" i="2"/>
  <c r="L26" i="2"/>
  <c r="L27" i="2"/>
  <c r="L28" i="2"/>
  <c r="L29" i="2"/>
  <c r="L30" i="2"/>
  <c r="L31" i="2"/>
  <c r="L25" i="2"/>
  <c r="K26" i="2"/>
  <c r="K27" i="2"/>
  <c r="K28" i="2"/>
  <c r="K29" i="2"/>
  <c r="K30" i="2"/>
  <c r="K31" i="2"/>
  <c r="K25" i="2"/>
  <c r="K33" i="2" s="1"/>
  <c r="F30" i="2"/>
  <c r="F31" i="2" s="1"/>
  <c r="B165" i="2"/>
  <c r="B166" i="2"/>
  <c r="B159" i="2"/>
  <c r="B160" i="2"/>
  <c r="B161" i="2" s="1"/>
  <c r="B162" i="2" s="1"/>
  <c r="B163" i="2" s="1"/>
  <c r="B164" i="2" s="1"/>
  <c r="B152" i="2"/>
  <c r="B153" i="2"/>
  <c r="B154" i="2"/>
  <c r="B155" i="2"/>
  <c r="B156" i="2"/>
  <c r="B157" i="2"/>
  <c r="B158" i="2"/>
  <c r="H29" i="1" l="1"/>
  <c r="H28" i="1"/>
  <c r="H27" i="1"/>
  <c r="H26" i="1"/>
  <c r="H25" i="1"/>
  <c r="K20" i="1"/>
  <c r="K19" i="1"/>
  <c r="J20" i="1"/>
  <c r="I20" i="1"/>
  <c r="I19" i="1"/>
  <c r="J19" i="1"/>
  <c r="A187" i="1"/>
  <c r="A188" i="1" s="1"/>
  <c r="A189" i="1" s="1"/>
  <c r="A190" i="1" s="1"/>
  <c r="A191" i="1" s="1"/>
  <c r="A192" i="1" s="1"/>
  <c r="A193" i="1" s="1"/>
  <c r="A194" i="1" s="1"/>
  <c r="L23" i="3" l="1"/>
  <c r="L24" i="3"/>
  <c r="L25" i="3" s="1"/>
  <c r="J23" i="3"/>
  <c r="K23" i="3"/>
  <c r="H36" i="3"/>
  <c r="I38" i="4" l="1"/>
  <c r="I37" i="4"/>
  <c r="I36" i="4"/>
  <c r="I35" i="4"/>
  <c r="I34" i="4"/>
  <c r="J31" i="4"/>
  <c r="I28" i="4" l="1"/>
  <c r="I20" i="4"/>
  <c r="K20" i="4" s="1"/>
  <c r="G31" i="4"/>
  <c r="I25" i="4" s="1"/>
  <c r="B21" i="4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C6" i="4"/>
  <c r="D15" i="4"/>
  <c r="C7" i="4" s="1"/>
  <c r="I43" i="3"/>
  <c r="I42" i="3"/>
  <c r="I41" i="3"/>
  <c r="I40" i="3"/>
  <c r="I39" i="3"/>
  <c r="K24" i="3"/>
  <c r="J35" i="3"/>
  <c r="E25" i="3"/>
  <c r="K25" i="3" s="1"/>
  <c r="B10" i="3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F26" i="2"/>
  <c r="F27" i="2" s="1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M25" i="2" l="1"/>
  <c r="M26" i="2" s="1"/>
  <c r="M27" i="2" s="1"/>
  <c r="M28" i="2" s="1"/>
  <c r="M29" i="2" s="1"/>
  <c r="M30" i="2" s="1"/>
  <c r="M31" i="2" s="1"/>
  <c r="F28" i="2"/>
  <c r="J24" i="3"/>
  <c r="J34" i="3"/>
  <c r="K21" i="4"/>
  <c r="J33" i="3"/>
  <c r="I29" i="4"/>
  <c r="J32" i="3"/>
  <c r="J31" i="3"/>
  <c r="C14" i="4"/>
  <c r="I27" i="4"/>
  <c r="E26" i="3"/>
  <c r="C5" i="4"/>
  <c r="J28" i="3"/>
  <c r="C11" i="4"/>
  <c r="I24" i="4"/>
  <c r="J27" i="3"/>
  <c r="C10" i="4"/>
  <c r="I23" i="4"/>
  <c r="J26" i="3"/>
  <c r="C9" i="4"/>
  <c r="I22" i="4"/>
  <c r="I31" i="4" s="1"/>
  <c r="J29" i="3"/>
  <c r="C12" i="4"/>
  <c r="J25" i="3"/>
  <c r="C8" i="4"/>
  <c r="I21" i="4"/>
  <c r="J30" i="3"/>
  <c r="C13" i="4"/>
  <c r="I26" i="4"/>
  <c r="K22" i="4" l="1"/>
  <c r="K23" i="4" s="1"/>
  <c r="K24" i="4" s="1"/>
  <c r="K25" i="4" s="1"/>
  <c r="K26" i="4" s="1"/>
  <c r="K27" i="4" s="1"/>
  <c r="K28" i="4" s="1"/>
  <c r="K29" i="4" s="1"/>
  <c r="L26" i="3"/>
  <c r="L27" i="3" s="1"/>
  <c r="L28" i="3" s="1"/>
  <c r="L29" i="3" s="1"/>
  <c r="L30" i="3" s="1"/>
  <c r="L31" i="3" s="1"/>
  <c r="L32" i="3" s="1"/>
  <c r="L33" i="3" s="1"/>
  <c r="L34" i="3" s="1"/>
  <c r="J36" i="3"/>
  <c r="F29" i="2"/>
  <c r="C15" i="4"/>
  <c r="E27" i="3"/>
  <c r="K26" i="3"/>
  <c r="H22" i="1"/>
  <c r="I22" i="1" l="1"/>
  <c r="E28" i="3"/>
  <c r="K27" i="3"/>
  <c r="J22" i="1"/>
  <c r="G22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E29" i="3" l="1"/>
  <c r="K28" i="3"/>
  <c r="E30" i="3" l="1"/>
  <c r="K29" i="3"/>
  <c r="E31" i="3" l="1"/>
  <c r="K30" i="3"/>
  <c r="E32" i="3" l="1"/>
  <c r="K31" i="3"/>
  <c r="E33" i="3" l="1"/>
  <c r="K32" i="3"/>
  <c r="E34" i="3" l="1"/>
  <c r="K34" i="3" s="1"/>
  <c r="K33" i="3"/>
  <c r="K36" i="3" l="1"/>
</calcChain>
</file>

<file path=xl/sharedStrings.xml><?xml version="1.0" encoding="utf-8"?>
<sst xmlns="http://schemas.openxmlformats.org/spreadsheetml/2006/main" count="93" uniqueCount="42">
  <si>
    <t>Параметры распределения</t>
  </si>
  <si>
    <t>Вероятность события, p =</t>
  </si>
  <si>
    <t xml:space="preserve">Объем выборки K = </t>
  </si>
  <si>
    <t>Выборка</t>
  </si>
  <si>
    <t>k</t>
  </si>
  <si>
    <t>x</t>
  </si>
  <si>
    <t>Задание 1.1 (Бернулли) Вариант 2176</t>
  </si>
  <si>
    <t>Гистограмма и распределение вероятностей</t>
  </si>
  <si>
    <t>Карманы</t>
  </si>
  <si>
    <t>Карман</t>
  </si>
  <si>
    <t>Еще</t>
  </si>
  <si>
    <t>Частота</t>
  </si>
  <si>
    <t>Сумма:</t>
  </si>
  <si>
    <t>Отн. част</t>
  </si>
  <si>
    <t>Теор.</t>
  </si>
  <si>
    <t>F(x)</t>
  </si>
  <si>
    <t>Выборочные оценки статистическх характеристик</t>
  </si>
  <si>
    <t>Математическое ожидание(МО)=</t>
  </si>
  <si>
    <t>Среднеквадратическое отклонение(СКО)=</t>
  </si>
  <si>
    <t>Дисперсия=</t>
  </si>
  <si>
    <t>Ассиметрия=</t>
  </si>
  <si>
    <t>Эксцесс=</t>
  </si>
  <si>
    <t>Задание 1.2 (Биномиальное) Вариант 2176</t>
  </si>
  <si>
    <t>Вероятность (Бернулли)</t>
  </si>
  <si>
    <t>q</t>
  </si>
  <si>
    <t>Число испытаний</t>
  </si>
  <si>
    <t>Объем выборки</t>
  </si>
  <si>
    <t>m</t>
  </si>
  <si>
    <t>K</t>
  </si>
  <si>
    <t>Всего:</t>
  </si>
  <si>
    <t>Отн. част.</t>
  </si>
  <si>
    <t>F(Y)</t>
  </si>
  <si>
    <t>Задание 1.3 (Пуассона) Вариант 2176</t>
  </si>
  <si>
    <t>Лямбда(интенсивность событий)=</t>
  </si>
  <si>
    <t>Объем выборки k=</t>
  </si>
  <si>
    <t>Задание 1.4 (Дискретное) Вариант 2176</t>
  </si>
  <si>
    <t>Знач. Xi</t>
  </si>
  <si>
    <t>Вероятн P(Xi)</t>
  </si>
  <si>
    <t>Исх. Ген.</t>
  </si>
  <si>
    <t>Объем выборки k =</t>
  </si>
  <si>
    <t xml:space="preserve">Всего: </t>
  </si>
  <si>
    <t>Отн. Част.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</si>
</sst>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Бернулли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'1.1.1. Бернулли'!$A$10:$A$194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'1.1.1. Бернулли'!$B$10:$B$194</c:f>
              <c:numCache>
                <c:formatCode>General</c:formatCode>
                <c:ptCount val="18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83-4440-904E-4CE9F78F2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703503"/>
        <c:axId val="924101407"/>
      </c:scatterChart>
      <c:valAx>
        <c:axId val="1024703503"/>
        <c:scaling>
          <c:orientation val="minMax"/>
          <c:max val="17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4101407"/>
        <c:crosses val="autoZero"/>
        <c:crossBetween val="midCat"/>
      </c:valAx>
      <c:valAx>
        <c:axId val="9241014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470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8461270585689241"/>
          <c:y val="0.27912159889351085"/>
          <c:w val="0.41346785963794358"/>
          <c:h val="0.41403450674945835"/>
        </c:manualLayout>
      </c:layout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'1.1.1. Бернулли'!$F$19:$F$20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'1.1.1. Бернулли'!$G$19:$G$20</c:f>
              <c:numCache>
                <c:formatCode>General</c:formatCode>
                <c:ptCount val="2"/>
                <c:pt idx="0">
                  <c:v>121</c:v>
                </c:pt>
                <c:pt idx="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F-4474-9EAA-E29034A34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8451199"/>
        <c:axId val="924104319"/>
      </c:barChart>
      <c:catAx>
        <c:axId val="848451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4104319"/>
        <c:crosses val="autoZero"/>
        <c:auto val="1"/>
        <c:lblAlgn val="ctr"/>
        <c:lblOffset val="100"/>
        <c:noMultiLvlLbl val="0"/>
      </c:catAx>
      <c:valAx>
        <c:axId val="924104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845119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8461270585689241"/>
          <c:y val="0.27912159889351085"/>
          <c:w val="0.41346785963794358"/>
          <c:h val="0.41403450674945835"/>
        </c:manualLayout>
      </c:layout>
      <c:barChart>
        <c:barDir val="col"/>
        <c:grouping val="clustered"/>
        <c:varyColors val="0"/>
        <c:ser>
          <c:idx val="0"/>
          <c:order val="0"/>
          <c:tx>
            <c:v>Отн. Част.</c:v>
          </c:tx>
          <c:invertIfNegative val="0"/>
          <c:cat>
            <c:numRef>
              <c:f>'1.1.1. Бернулли'!$F$19:$F$20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'1.1.1. Бернулли'!$I$19:$I$20</c:f>
              <c:numCache>
                <c:formatCode>General</c:formatCode>
                <c:ptCount val="2"/>
                <c:pt idx="0">
                  <c:v>0.65557839214259739</c:v>
                </c:pt>
                <c:pt idx="1">
                  <c:v>0.34675220741426638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D-4646-B50A-814F3C8616D3}"/>
            </c:ext>
          </c:extLst>
        </c:ser>
        <c:ser>
          <c:idx val="1"/>
          <c:order val="1"/>
          <c:tx>
            <c:v>Теор. част.</c:v>
          </c:tx>
          <c:invertIfNegative val="0"/>
          <c:cat>
            <c:numRef>
              <c:f>'1.1.1. Бернулли'!$F$19:$F$20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'1.1.1. Бернулли'!$J$19:$J$20</c:f>
              <c:numCache>
                <c:formatCode>General</c:formatCode>
                <c:ptCount val="2"/>
                <c:pt idx="0">
                  <c:v>0.66918546098208598</c:v>
                </c:pt>
                <c:pt idx="1">
                  <c:v>0.33081453901791402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BD-4646-B50A-814F3C861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8451199"/>
        <c:axId val="924104319"/>
      </c:barChart>
      <c:catAx>
        <c:axId val="848451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4104319"/>
        <c:crosses val="autoZero"/>
        <c:auto val="1"/>
        <c:lblAlgn val="ctr"/>
        <c:lblOffset val="100"/>
        <c:noMultiLvlLbl val="0"/>
      </c:catAx>
      <c:valAx>
        <c:axId val="924104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Относительная частота</a:t>
                </a:r>
              </a:p>
            </c:rich>
          </c:tx>
          <c:layout>
            <c:manualLayout>
              <c:xMode val="edge"/>
              <c:yMode val="edge"/>
              <c:x val="7.4028399266079611E-2"/>
              <c:y val="0.1331845409093853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4845119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605072947614351"/>
          <c:y val="0.42971516679864025"/>
          <c:w val="0.3394927052385649"/>
          <c:h val="0.23990610720993835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885606376695369"/>
          <c:y val="0.20724978723602153"/>
          <c:w val="0.77145736780951657"/>
          <c:h val="0.65573579131922966"/>
        </c:manualLayout>
      </c:layout>
      <c:scatterChart>
        <c:scatterStyle val="lineMarker"/>
        <c:varyColors val="0"/>
        <c:ser>
          <c:idx val="0"/>
          <c:order val="0"/>
          <c:tx>
            <c:v>F(x)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'1.1.1. Бернулли'!$D$19:$D$20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'1.1.1. Бернулли'!$K$19:$K$20</c:f>
              <c:numCache>
                <c:formatCode>General</c:formatCode>
                <c:ptCount val="2"/>
                <c:pt idx="0">
                  <c:v>0.65557839214259739</c:v>
                </c:pt>
                <c:pt idx="1">
                  <c:v>1.0023305995568639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5B-4CC1-A135-1FCC87085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93968"/>
        <c:axId val="199619120"/>
      </c:scatterChart>
      <c:valAx>
        <c:axId val="2007939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619120"/>
        <c:crosses val="autoZero"/>
        <c:crossBetween val="midCat"/>
      </c:valAx>
      <c:valAx>
        <c:axId val="1996191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79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Реализация СП  Имеющего биномиальное</a:t>
            </a:r>
            <a:r>
              <a:rPr lang="ru-RU" baseline="0"/>
              <a:t> распределние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Биномиальное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'1.1.2. Биномиальное'!$B$10:$B$151</c:f>
              <c:numCache>
                <c:formatCode>General</c:formatCode>
                <c:ptCount val="1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</c:numCache>
            </c:numRef>
          </c:xVal>
          <c:yVal>
            <c:numRef>
              <c:f>'1.1.2. Биномиальное'!$C$10:$C$151</c:f>
              <c:numCache>
                <c:formatCode>General</c:formatCode>
                <c:ptCount val="14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0</c:v>
                </c:pt>
                <c:pt idx="34">
                  <c:v>4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2</c:v>
                </c:pt>
                <c:pt idx="40">
                  <c:v>4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0</c:v>
                </c:pt>
                <c:pt idx="50">
                  <c:v>3</c:v>
                </c:pt>
                <c:pt idx="51">
                  <c:v>2</c:v>
                </c:pt>
                <c:pt idx="52">
                  <c:v>1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2</c:v>
                </c:pt>
                <c:pt idx="59">
                  <c:v>2</c:v>
                </c:pt>
                <c:pt idx="60">
                  <c:v>0</c:v>
                </c:pt>
                <c:pt idx="61">
                  <c:v>2</c:v>
                </c:pt>
                <c:pt idx="62">
                  <c:v>0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6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3</c:v>
                </c:pt>
                <c:pt idx="79">
                  <c:v>2</c:v>
                </c:pt>
                <c:pt idx="80">
                  <c:v>3</c:v>
                </c:pt>
                <c:pt idx="81">
                  <c:v>1</c:v>
                </c:pt>
                <c:pt idx="82">
                  <c:v>0</c:v>
                </c:pt>
                <c:pt idx="83">
                  <c:v>4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1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4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2</c:v>
                </c:pt>
                <c:pt idx="109">
                  <c:v>1</c:v>
                </c:pt>
                <c:pt idx="110">
                  <c:v>2</c:v>
                </c:pt>
                <c:pt idx="111">
                  <c:v>4</c:v>
                </c:pt>
                <c:pt idx="112">
                  <c:v>3</c:v>
                </c:pt>
                <c:pt idx="113">
                  <c:v>2</c:v>
                </c:pt>
                <c:pt idx="114">
                  <c:v>1</c:v>
                </c:pt>
                <c:pt idx="115">
                  <c:v>0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4</c:v>
                </c:pt>
                <c:pt idx="124">
                  <c:v>2</c:v>
                </c:pt>
                <c:pt idx="125">
                  <c:v>1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2</c:v>
                </c:pt>
                <c:pt idx="131">
                  <c:v>3</c:v>
                </c:pt>
                <c:pt idx="132">
                  <c:v>2</c:v>
                </c:pt>
                <c:pt idx="133">
                  <c:v>4</c:v>
                </c:pt>
                <c:pt idx="134">
                  <c:v>1</c:v>
                </c:pt>
                <c:pt idx="135">
                  <c:v>2</c:v>
                </c:pt>
                <c:pt idx="136">
                  <c:v>3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3</c:v>
                </c:pt>
                <c:pt idx="14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05-4F61-9BF5-FC07D6B97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83599"/>
        <c:axId val="1239813919"/>
      </c:scatterChart>
      <c:valAx>
        <c:axId val="124768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9813919"/>
        <c:crosses val="autoZero"/>
        <c:crossBetween val="midCat"/>
      </c:valAx>
      <c:valAx>
        <c:axId val="123981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7683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'1.1.2. Биномиальное'!$H$25:$H$31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'1.1.2. Биномиальное'!$I$25:$I$31</c:f>
              <c:numCache>
                <c:formatCode>General</c:formatCode>
                <c:ptCount val="7"/>
                <c:pt idx="0">
                  <c:v>17</c:v>
                </c:pt>
                <c:pt idx="1">
                  <c:v>43</c:v>
                </c:pt>
                <c:pt idx="2">
                  <c:v>65</c:v>
                </c:pt>
                <c:pt idx="3">
                  <c:v>22</c:v>
                </c:pt>
                <c:pt idx="4">
                  <c:v>9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F-4211-88E6-C937A8D3C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7685999"/>
        <c:axId val="1272927231"/>
      </c:barChart>
      <c:catAx>
        <c:axId val="124768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2927231"/>
        <c:crosses val="autoZero"/>
        <c:auto val="1"/>
        <c:lblAlgn val="ctr"/>
        <c:lblOffset val="100"/>
        <c:noMultiLvlLbl val="0"/>
      </c:catAx>
      <c:valAx>
        <c:axId val="12729272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768599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Отн. част</c:v>
          </c:tx>
          <c:invertIfNegative val="0"/>
          <c:cat>
            <c:numRef>
              <c:f>'1.1.2. Биномиальное'!$H$25:$H$31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'1.1.2. Биномиальное'!$K$25:$K$31</c:f>
              <c:numCache>
                <c:formatCode>General</c:formatCode>
                <c:ptCount val="7"/>
                <c:pt idx="0">
                  <c:v>0.10828025477707007</c:v>
                </c:pt>
                <c:pt idx="1">
                  <c:v>0.27388535031847133</c:v>
                </c:pt>
                <c:pt idx="2">
                  <c:v>0.4140127388535032</c:v>
                </c:pt>
                <c:pt idx="3">
                  <c:v>0.14012738853503184</c:v>
                </c:pt>
                <c:pt idx="4">
                  <c:v>5.7324840764331211E-2</c:v>
                </c:pt>
                <c:pt idx="5">
                  <c:v>0</c:v>
                </c:pt>
                <c:pt idx="6">
                  <c:v>6.369426751592357E-3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B-413C-B71B-312220654CA6}"/>
            </c:ext>
          </c:extLst>
        </c:ser>
        <c:ser>
          <c:idx val="1"/>
          <c:order val="1"/>
          <c:tx>
            <c:v>Теор.</c:v>
          </c:tx>
          <c:invertIfNegative val="0"/>
          <c:cat>
            <c:numRef>
              <c:f>'1.1.2. Биномиальное'!$H$25:$H$31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'1.1.2. Биномиальное'!$L$25:$L$31</c:f>
              <c:numCache>
                <c:formatCode>General</c:formatCode>
                <c:ptCount val="7"/>
                <c:pt idx="0">
                  <c:v>8.9800546635092529E-2</c:v>
                </c:pt>
                <c:pt idx="1">
                  <c:v>0.26635958045215335</c:v>
                </c:pt>
                <c:pt idx="2">
                  <c:v>0.32918983958111969</c:v>
                </c:pt>
                <c:pt idx="3">
                  <c:v>0.21698177138235736</c:v>
                </c:pt>
                <c:pt idx="4">
                  <c:v>8.044936216538634E-2</c:v>
                </c:pt>
                <c:pt idx="5">
                  <c:v>1.5908187018868883E-2</c:v>
                </c:pt>
                <c:pt idx="6">
                  <c:v>1.3107127650219437E-3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4B-413C-B71B-312220654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7685999"/>
        <c:axId val="1272927231"/>
      </c:barChart>
      <c:catAx>
        <c:axId val="124768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2927231"/>
        <c:crosses val="autoZero"/>
        <c:auto val="1"/>
        <c:lblAlgn val="ctr"/>
        <c:lblOffset val="100"/>
        <c:noMultiLvlLbl val="0"/>
      </c:catAx>
      <c:valAx>
        <c:axId val="12729272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Отн.</a:t>
                </a:r>
                <a:r>
                  <a:rPr lang="ru-RU" baseline="0"/>
                  <a:t> част.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768599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'1.1.2. Биномиальное'!$M$24</c:f>
              <c:strCache>
                <c:ptCount val="1"/>
                <c:pt idx="0">
                  <c:v>F(Y)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'1.1.2. Биномиальное'!$F$25:$F$31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'1.1.2. Биномиальное'!$M$25:$M$31</c:f>
              <c:numCache>
                <c:formatCode>General</c:formatCode>
                <c:ptCount val="7"/>
                <c:pt idx="0">
                  <c:v>0.10828025477707007</c:v>
                </c:pt>
                <c:pt idx="1">
                  <c:v>0.38216560509554143</c:v>
                </c:pt>
                <c:pt idx="2">
                  <c:v>0.79617834394904463</c:v>
                </c:pt>
                <c:pt idx="3">
                  <c:v>0.93630573248407645</c:v>
                </c:pt>
                <c:pt idx="4">
                  <c:v>0.99363057324840764</c:v>
                </c:pt>
                <c:pt idx="5">
                  <c:v>0.99363057324840764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8E-43CC-87C3-C5A1CB0C5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144831"/>
        <c:axId val="935221295"/>
      </c:scatterChart>
      <c:valAx>
        <c:axId val="127014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5221295"/>
        <c:crosses val="autoZero"/>
        <c:crossBetween val="midCat"/>
      </c:valAx>
      <c:valAx>
        <c:axId val="93522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0144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Реализация</a:t>
            </a:r>
            <a:r>
              <a:rPr lang="ru-RU" baseline="0"/>
              <a:t> СП, емеющего распределение Пуассона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Пуассон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'1.1.3. Пуассона'!$B$9:$B$193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'1.1.3. Пуассона'!$C$9:$C$193</c:f>
              <c:numCache>
                <c:formatCode>General</c:formatCode>
                <c:ptCount val="185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  <c:pt idx="8">
                  <c:v>7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8</c:v>
                </c:pt>
                <c:pt idx="13">
                  <c:v>5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8</c:v>
                </c:pt>
                <c:pt idx="18">
                  <c:v>2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1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6</c:v>
                </c:pt>
                <c:pt idx="29">
                  <c:v>4</c:v>
                </c:pt>
                <c:pt idx="30">
                  <c:v>1</c:v>
                </c:pt>
                <c:pt idx="31">
                  <c:v>5</c:v>
                </c:pt>
                <c:pt idx="32">
                  <c:v>1</c:v>
                </c:pt>
                <c:pt idx="33">
                  <c:v>3</c:v>
                </c:pt>
                <c:pt idx="34">
                  <c:v>7</c:v>
                </c:pt>
                <c:pt idx="35">
                  <c:v>7</c:v>
                </c:pt>
                <c:pt idx="36">
                  <c:v>4</c:v>
                </c:pt>
                <c:pt idx="37">
                  <c:v>6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3</c:v>
                </c:pt>
                <c:pt idx="45">
                  <c:v>6</c:v>
                </c:pt>
                <c:pt idx="46">
                  <c:v>4</c:v>
                </c:pt>
                <c:pt idx="47">
                  <c:v>6</c:v>
                </c:pt>
                <c:pt idx="48">
                  <c:v>3</c:v>
                </c:pt>
                <c:pt idx="49">
                  <c:v>0</c:v>
                </c:pt>
                <c:pt idx="50">
                  <c:v>5</c:v>
                </c:pt>
                <c:pt idx="51">
                  <c:v>6</c:v>
                </c:pt>
                <c:pt idx="52">
                  <c:v>5</c:v>
                </c:pt>
                <c:pt idx="53">
                  <c:v>5</c:v>
                </c:pt>
                <c:pt idx="54">
                  <c:v>7</c:v>
                </c:pt>
                <c:pt idx="55">
                  <c:v>2</c:v>
                </c:pt>
                <c:pt idx="56">
                  <c:v>3</c:v>
                </c:pt>
                <c:pt idx="57">
                  <c:v>7</c:v>
                </c:pt>
                <c:pt idx="58">
                  <c:v>2</c:v>
                </c:pt>
                <c:pt idx="59">
                  <c:v>4</c:v>
                </c:pt>
                <c:pt idx="60">
                  <c:v>5</c:v>
                </c:pt>
                <c:pt idx="61">
                  <c:v>3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4</c:v>
                </c:pt>
                <c:pt idx="67">
                  <c:v>5</c:v>
                </c:pt>
                <c:pt idx="68">
                  <c:v>3</c:v>
                </c:pt>
                <c:pt idx="69">
                  <c:v>0</c:v>
                </c:pt>
                <c:pt idx="70">
                  <c:v>7</c:v>
                </c:pt>
                <c:pt idx="71">
                  <c:v>0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5</c:v>
                </c:pt>
                <c:pt idx="79">
                  <c:v>1</c:v>
                </c:pt>
                <c:pt idx="80">
                  <c:v>2</c:v>
                </c:pt>
                <c:pt idx="81">
                  <c:v>5</c:v>
                </c:pt>
                <c:pt idx="82">
                  <c:v>3</c:v>
                </c:pt>
                <c:pt idx="83">
                  <c:v>3</c:v>
                </c:pt>
                <c:pt idx="84">
                  <c:v>7</c:v>
                </c:pt>
                <c:pt idx="85">
                  <c:v>5</c:v>
                </c:pt>
                <c:pt idx="86">
                  <c:v>3</c:v>
                </c:pt>
                <c:pt idx="87">
                  <c:v>6</c:v>
                </c:pt>
                <c:pt idx="88">
                  <c:v>6</c:v>
                </c:pt>
                <c:pt idx="89">
                  <c:v>2</c:v>
                </c:pt>
                <c:pt idx="90">
                  <c:v>5</c:v>
                </c:pt>
                <c:pt idx="91">
                  <c:v>4</c:v>
                </c:pt>
                <c:pt idx="92">
                  <c:v>0</c:v>
                </c:pt>
                <c:pt idx="93">
                  <c:v>4</c:v>
                </c:pt>
                <c:pt idx="94">
                  <c:v>3</c:v>
                </c:pt>
                <c:pt idx="95">
                  <c:v>5</c:v>
                </c:pt>
                <c:pt idx="96">
                  <c:v>1</c:v>
                </c:pt>
                <c:pt idx="97">
                  <c:v>4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3</c:v>
                </c:pt>
                <c:pt idx="102">
                  <c:v>6</c:v>
                </c:pt>
                <c:pt idx="103">
                  <c:v>3</c:v>
                </c:pt>
                <c:pt idx="104">
                  <c:v>11</c:v>
                </c:pt>
                <c:pt idx="105">
                  <c:v>5</c:v>
                </c:pt>
                <c:pt idx="106">
                  <c:v>7</c:v>
                </c:pt>
                <c:pt idx="107">
                  <c:v>4</c:v>
                </c:pt>
                <c:pt idx="108">
                  <c:v>5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1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4</c:v>
                </c:pt>
                <c:pt idx="118">
                  <c:v>1</c:v>
                </c:pt>
                <c:pt idx="119">
                  <c:v>3</c:v>
                </c:pt>
                <c:pt idx="120">
                  <c:v>4</c:v>
                </c:pt>
                <c:pt idx="121">
                  <c:v>2</c:v>
                </c:pt>
                <c:pt idx="122">
                  <c:v>8</c:v>
                </c:pt>
                <c:pt idx="123">
                  <c:v>7</c:v>
                </c:pt>
                <c:pt idx="124">
                  <c:v>5</c:v>
                </c:pt>
                <c:pt idx="125">
                  <c:v>2</c:v>
                </c:pt>
                <c:pt idx="126">
                  <c:v>5</c:v>
                </c:pt>
                <c:pt idx="127">
                  <c:v>3</c:v>
                </c:pt>
                <c:pt idx="128">
                  <c:v>5</c:v>
                </c:pt>
                <c:pt idx="129">
                  <c:v>7</c:v>
                </c:pt>
                <c:pt idx="130">
                  <c:v>5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6</c:v>
                </c:pt>
                <c:pt idx="135">
                  <c:v>2</c:v>
                </c:pt>
                <c:pt idx="136">
                  <c:v>10</c:v>
                </c:pt>
                <c:pt idx="137">
                  <c:v>3</c:v>
                </c:pt>
                <c:pt idx="138">
                  <c:v>5</c:v>
                </c:pt>
                <c:pt idx="139">
                  <c:v>1</c:v>
                </c:pt>
                <c:pt idx="140">
                  <c:v>7</c:v>
                </c:pt>
                <c:pt idx="141">
                  <c:v>4</c:v>
                </c:pt>
                <c:pt idx="142">
                  <c:v>1</c:v>
                </c:pt>
                <c:pt idx="143">
                  <c:v>7</c:v>
                </c:pt>
                <c:pt idx="144">
                  <c:v>4</c:v>
                </c:pt>
                <c:pt idx="145">
                  <c:v>1</c:v>
                </c:pt>
                <c:pt idx="146">
                  <c:v>6</c:v>
                </c:pt>
                <c:pt idx="147">
                  <c:v>2</c:v>
                </c:pt>
                <c:pt idx="148">
                  <c:v>6</c:v>
                </c:pt>
                <c:pt idx="149">
                  <c:v>3</c:v>
                </c:pt>
                <c:pt idx="150">
                  <c:v>6</c:v>
                </c:pt>
                <c:pt idx="151">
                  <c:v>2</c:v>
                </c:pt>
                <c:pt idx="152">
                  <c:v>3</c:v>
                </c:pt>
                <c:pt idx="153">
                  <c:v>4</c:v>
                </c:pt>
                <c:pt idx="154">
                  <c:v>2</c:v>
                </c:pt>
                <c:pt idx="155">
                  <c:v>1</c:v>
                </c:pt>
                <c:pt idx="156">
                  <c:v>2</c:v>
                </c:pt>
                <c:pt idx="157">
                  <c:v>4</c:v>
                </c:pt>
                <c:pt idx="158">
                  <c:v>5</c:v>
                </c:pt>
                <c:pt idx="159">
                  <c:v>5</c:v>
                </c:pt>
                <c:pt idx="160">
                  <c:v>4</c:v>
                </c:pt>
                <c:pt idx="161">
                  <c:v>3</c:v>
                </c:pt>
                <c:pt idx="162">
                  <c:v>1</c:v>
                </c:pt>
                <c:pt idx="163">
                  <c:v>4</c:v>
                </c:pt>
                <c:pt idx="164">
                  <c:v>3</c:v>
                </c:pt>
                <c:pt idx="165">
                  <c:v>1</c:v>
                </c:pt>
                <c:pt idx="166">
                  <c:v>4</c:v>
                </c:pt>
                <c:pt idx="167">
                  <c:v>5</c:v>
                </c:pt>
                <c:pt idx="168">
                  <c:v>2</c:v>
                </c:pt>
                <c:pt idx="169">
                  <c:v>1</c:v>
                </c:pt>
                <c:pt idx="170">
                  <c:v>3</c:v>
                </c:pt>
                <c:pt idx="171">
                  <c:v>1</c:v>
                </c:pt>
                <c:pt idx="172">
                  <c:v>3</c:v>
                </c:pt>
                <c:pt idx="173">
                  <c:v>0</c:v>
                </c:pt>
                <c:pt idx="174">
                  <c:v>4</c:v>
                </c:pt>
                <c:pt idx="175">
                  <c:v>1</c:v>
                </c:pt>
                <c:pt idx="176">
                  <c:v>1</c:v>
                </c:pt>
                <c:pt idx="177">
                  <c:v>5</c:v>
                </c:pt>
                <c:pt idx="178">
                  <c:v>3</c:v>
                </c:pt>
                <c:pt idx="179">
                  <c:v>3</c:v>
                </c:pt>
                <c:pt idx="180">
                  <c:v>1</c:v>
                </c:pt>
                <c:pt idx="181">
                  <c:v>7</c:v>
                </c:pt>
                <c:pt idx="182">
                  <c:v>6</c:v>
                </c:pt>
                <c:pt idx="183">
                  <c:v>1</c:v>
                </c:pt>
                <c:pt idx="18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67-4427-8BB7-91764E385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43423"/>
        <c:axId val="1272922655"/>
      </c:scatterChart>
      <c:valAx>
        <c:axId val="51854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2922655"/>
        <c:crosses val="autoZero"/>
        <c:crossBetween val="midCat"/>
      </c:valAx>
      <c:valAx>
        <c:axId val="12729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854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'1.1.3. Пуассона'!$G$23:$G$34</c15:sqref>
                  </c15:fullRef>
                </c:ext>
              </c:extLst>
              <c:f>'1.1.3. Пуассона'!$G$23:$G$33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'1.1.3. Пуассона'!$H$24:$H$35</c15:sqref>
                  </c15:fullRef>
                </c:ext>
              </c:extLst>
              <c:f>'1.1.3. Пуассона'!$H$24:$H$34</c:f>
              <c:numCache>
                <c:formatCode>General</c:formatCode>
                <c:ptCount val="11"/>
                <c:pt idx="0">
                  <c:v>25</c:v>
                </c:pt>
                <c:pt idx="1">
                  <c:v>20</c:v>
                </c:pt>
                <c:pt idx="2">
                  <c:v>32</c:v>
                </c:pt>
                <c:pt idx="3">
                  <c:v>31</c:v>
                </c:pt>
                <c:pt idx="4">
                  <c:v>31</c:v>
                </c:pt>
                <c:pt idx="5">
                  <c:v>19</c:v>
                </c:pt>
                <c:pt idx="6">
                  <c:v>14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8E-49BF-8A6C-EEB5F8E06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0144031"/>
        <c:axId val="1270376607"/>
      </c:barChart>
      <c:catAx>
        <c:axId val="1270144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0376607"/>
        <c:crosses val="autoZero"/>
        <c:auto val="1"/>
        <c:lblAlgn val="ctr"/>
        <c:lblOffset val="100"/>
        <c:noMultiLvlLbl val="0"/>
      </c:catAx>
      <c:valAx>
        <c:axId val="1270376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014403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Отн. Част.</c:v>
          </c:tx>
          <c:invertIfNegative val="0"/>
          <c:cat>
            <c:numRef>
              <c:f>'1.1.3. Пуассона'!$G$23:$G$34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'1.1.3. Пуассона'!$J$24:$J$34</c:f>
              <c:numCache>
                <c:formatCode>General</c:formatCode>
                <c:ptCount val="11"/>
                <c:pt idx="0">
                  <c:v>0.13513513513513514</c:v>
                </c:pt>
                <c:pt idx="1">
                  <c:v>0.10810810810810811</c:v>
                </c:pt>
                <c:pt idx="2">
                  <c:v>0.17297297297297298</c:v>
                </c:pt>
                <c:pt idx="3">
                  <c:v>0.16756756756756758</c:v>
                </c:pt>
                <c:pt idx="4">
                  <c:v>0.16756756756756758</c:v>
                </c:pt>
                <c:pt idx="5">
                  <c:v>0.10270270270270271</c:v>
                </c:pt>
                <c:pt idx="6">
                  <c:v>7.567567567567568E-2</c:v>
                </c:pt>
                <c:pt idx="7">
                  <c:v>2.1621621621621623E-2</c:v>
                </c:pt>
                <c:pt idx="8">
                  <c:v>0</c:v>
                </c:pt>
                <c:pt idx="9">
                  <c:v>5.4054054054054057E-3</c:v>
                </c:pt>
                <c:pt idx="10">
                  <c:v>5.4054054054054057E-3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9-4CB0-A7FA-1948DFC99D02}"/>
            </c:ext>
          </c:extLst>
        </c:ser>
        <c:ser>
          <c:idx val="1"/>
          <c:order val="1"/>
          <c:tx>
            <c:v>Теор.</c:v>
          </c:tx>
          <c:invertIfNegative val="0"/>
          <c:cat>
            <c:numRef>
              <c:f>'1.1.3. Пуассона'!$G$23:$G$34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'1.1.3. Пуассона'!$K$24:$K$34</c:f>
              <c:numCache>
                <c:formatCode>General</c:formatCode>
                <c:ptCount val="11"/>
                <c:pt idx="0">
                  <c:v>8.8567746807217254E-2</c:v>
                </c:pt>
                <c:pt idx="1">
                  <c:v>0.1658074066101605</c:v>
                </c:pt>
                <c:pt idx="2">
                  <c:v>0.20693835756883605</c:v>
                </c:pt>
                <c:pt idx="3">
                  <c:v>0.1937043316193901</c:v>
                </c:pt>
                <c:pt idx="4">
                  <c:v>0.14505331357192597</c:v>
                </c:pt>
                <c:pt idx="5">
                  <c:v>9.0517954186047467E-2</c:v>
                </c:pt>
                <c:pt idx="6">
                  <c:v>4.8416681100189762E-2</c:v>
                </c:pt>
                <c:pt idx="7">
                  <c:v>2.266017997321192E-2</c:v>
                </c:pt>
                <c:pt idx="8">
                  <c:v>9.4271229529488687E-3</c:v>
                </c:pt>
                <c:pt idx="9">
                  <c:v>3.5296975817300461E-3</c:v>
                </c:pt>
                <c:pt idx="10">
                  <c:v>1.2014429082256599E-3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29-4CB0-A7FA-1948DFC99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0144031"/>
        <c:axId val="1270376607"/>
      </c:barChart>
      <c:catAx>
        <c:axId val="1270144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0376607"/>
        <c:crosses val="autoZero"/>
        <c:auto val="1"/>
        <c:lblAlgn val="ctr"/>
        <c:lblOffset val="100"/>
        <c:noMultiLvlLbl val="0"/>
      </c:catAx>
      <c:valAx>
        <c:axId val="1270376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014403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F(Y)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'1.1.3. Пуассона'!$E$24:$E$34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'1.1.3. Пуассона'!$L$24:$L$34</c:f>
              <c:numCache>
                <c:formatCode>General</c:formatCode>
                <c:ptCount val="11"/>
                <c:pt idx="0">
                  <c:v>0.17297297297297298</c:v>
                </c:pt>
                <c:pt idx="1">
                  <c:v>0.2810810810810811</c:v>
                </c:pt>
                <c:pt idx="2">
                  <c:v>0.45405405405405408</c:v>
                </c:pt>
                <c:pt idx="3">
                  <c:v>0.62162162162162171</c:v>
                </c:pt>
                <c:pt idx="4">
                  <c:v>0.78918918918918934</c:v>
                </c:pt>
                <c:pt idx="5">
                  <c:v>0.89189189189189211</c:v>
                </c:pt>
                <c:pt idx="6">
                  <c:v>0.96756756756756779</c:v>
                </c:pt>
                <c:pt idx="7">
                  <c:v>0.98918918918918941</c:v>
                </c:pt>
                <c:pt idx="8">
                  <c:v>0.98918918918918941</c:v>
                </c:pt>
                <c:pt idx="9">
                  <c:v>0.99459459459459487</c:v>
                </c:pt>
                <c:pt idx="10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9E-4D42-BFA1-0D2CA671B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966975"/>
        <c:axId val="786747455"/>
      </c:scatterChart>
      <c:valAx>
        <c:axId val="136496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6747455"/>
        <c:crosses val="autoZero"/>
        <c:crossBetween val="midCat"/>
      </c:valAx>
      <c:valAx>
        <c:axId val="78674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496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Реализация СП, имеющего дискретное распределение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'1.1.4. Дискретное'!$B$20:$B$127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</c:numCache>
            </c:numRef>
          </c:xVal>
          <c:yVal>
            <c:numRef>
              <c:f>'1.1.4. Дискретное'!$C$20:$C$127</c:f>
              <c:numCache>
                <c:formatCode>General</c:formatCode>
                <c:ptCount val="108"/>
                <c:pt idx="0">
                  <c:v>29</c:v>
                </c:pt>
                <c:pt idx="1">
                  <c:v>8</c:v>
                </c:pt>
                <c:pt idx="2">
                  <c:v>25</c:v>
                </c:pt>
                <c:pt idx="3">
                  <c:v>19</c:v>
                </c:pt>
                <c:pt idx="4">
                  <c:v>8</c:v>
                </c:pt>
                <c:pt idx="5">
                  <c:v>9</c:v>
                </c:pt>
                <c:pt idx="6">
                  <c:v>21</c:v>
                </c:pt>
                <c:pt idx="7">
                  <c:v>19</c:v>
                </c:pt>
                <c:pt idx="8">
                  <c:v>17</c:v>
                </c:pt>
                <c:pt idx="9">
                  <c:v>8</c:v>
                </c:pt>
                <c:pt idx="10">
                  <c:v>8</c:v>
                </c:pt>
                <c:pt idx="11">
                  <c:v>14</c:v>
                </c:pt>
                <c:pt idx="12">
                  <c:v>9</c:v>
                </c:pt>
                <c:pt idx="13">
                  <c:v>8</c:v>
                </c:pt>
                <c:pt idx="14">
                  <c:v>19</c:v>
                </c:pt>
                <c:pt idx="15">
                  <c:v>9</c:v>
                </c:pt>
                <c:pt idx="16">
                  <c:v>8</c:v>
                </c:pt>
                <c:pt idx="17">
                  <c:v>25</c:v>
                </c:pt>
                <c:pt idx="18">
                  <c:v>9</c:v>
                </c:pt>
                <c:pt idx="19">
                  <c:v>8</c:v>
                </c:pt>
                <c:pt idx="20">
                  <c:v>21</c:v>
                </c:pt>
                <c:pt idx="21">
                  <c:v>21</c:v>
                </c:pt>
                <c:pt idx="22">
                  <c:v>19</c:v>
                </c:pt>
                <c:pt idx="23">
                  <c:v>8</c:v>
                </c:pt>
                <c:pt idx="24">
                  <c:v>9</c:v>
                </c:pt>
                <c:pt idx="25">
                  <c:v>8</c:v>
                </c:pt>
                <c:pt idx="26">
                  <c:v>29</c:v>
                </c:pt>
                <c:pt idx="27">
                  <c:v>19</c:v>
                </c:pt>
                <c:pt idx="28">
                  <c:v>9</c:v>
                </c:pt>
                <c:pt idx="29">
                  <c:v>8</c:v>
                </c:pt>
                <c:pt idx="30">
                  <c:v>19</c:v>
                </c:pt>
                <c:pt idx="31">
                  <c:v>21</c:v>
                </c:pt>
                <c:pt idx="32">
                  <c:v>8</c:v>
                </c:pt>
                <c:pt idx="33">
                  <c:v>17</c:v>
                </c:pt>
                <c:pt idx="34">
                  <c:v>25</c:v>
                </c:pt>
                <c:pt idx="35">
                  <c:v>8</c:v>
                </c:pt>
                <c:pt idx="36">
                  <c:v>19</c:v>
                </c:pt>
                <c:pt idx="37">
                  <c:v>21</c:v>
                </c:pt>
                <c:pt idx="38">
                  <c:v>8</c:v>
                </c:pt>
                <c:pt idx="39">
                  <c:v>9</c:v>
                </c:pt>
                <c:pt idx="40">
                  <c:v>8</c:v>
                </c:pt>
                <c:pt idx="41">
                  <c:v>25</c:v>
                </c:pt>
                <c:pt idx="42">
                  <c:v>19</c:v>
                </c:pt>
                <c:pt idx="43">
                  <c:v>29</c:v>
                </c:pt>
                <c:pt idx="44">
                  <c:v>25</c:v>
                </c:pt>
                <c:pt idx="45">
                  <c:v>29</c:v>
                </c:pt>
                <c:pt idx="46">
                  <c:v>19</c:v>
                </c:pt>
                <c:pt idx="47">
                  <c:v>8</c:v>
                </c:pt>
                <c:pt idx="48">
                  <c:v>21</c:v>
                </c:pt>
                <c:pt idx="49">
                  <c:v>8</c:v>
                </c:pt>
                <c:pt idx="50">
                  <c:v>21</c:v>
                </c:pt>
                <c:pt idx="51">
                  <c:v>8</c:v>
                </c:pt>
                <c:pt idx="52">
                  <c:v>8</c:v>
                </c:pt>
                <c:pt idx="53">
                  <c:v>9</c:v>
                </c:pt>
                <c:pt idx="54">
                  <c:v>21</c:v>
                </c:pt>
                <c:pt idx="55">
                  <c:v>19</c:v>
                </c:pt>
                <c:pt idx="56">
                  <c:v>29</c:v>
                </c:pt>
                <c:pt idx="57">
                  <c:v>5</c:v>
                </c:pt>
                <c:pt idx="58">
                  <c:v>9</c:v>
                </c:pt>
                <c:pt idx="59">
                  <c:v>29</c:v>
                </c:pt>
                <c:pt idx="60">
                  <c:v>19</c:v>
                </c:pt>
                <c:pt idx="61">
                  <c:v>14</c:v>
                </c:pt>
                <c:pt idx="62">
                  <c:v>21</c:v>
                </c:pt>
                <c:pt idx="63">
                  <c:v>25</c:v>
                </c:pt>
                <c:pt idx="64">
                  <c:v>17</c:v>
                </c:pt>
                <c:pt idx="65">
                  <c:v>19</c:v>
                </c:pt>
                <c:pt idx="66">
                  <c:v>21</c:v>
                </c:pt>
                <c:pt idx="67">
                  <c:v>21</c:v>
                </c:pt>
                <c:pt idx="68">
                  <c:v>9</c:v>
                </c:pt>
                <c:pt idx="69">
                  <c:v>9</c:v>
                </c:pt>
                <c:pt idx="70">
                  <c:v>19</c:v>
                </c:pt>
                <c:pt idx="71">
                  <c:v>8</c:v>
                </c:pt>
                <c:pt idx="72">
                  <c:v>25</c:v>
                </c:pt>
                <c:pt idx="73">
                  <c:v>21</c:v>
                </c:pt>
                <c:pt idx="74">
                  <c:v>8</c:v>
                </c:pt>
                <c:pt idx="75">
                  <c:v>14</c:v>
                </c:pt>
                <c:pt idx="76">
                  <c:v>9</c:v>
                </c:pt>
                <c:pt idx="77">
                  <c:v>9</c:v>
                </c:pt>
                <c:pt idx="78">
                  <c:v>29</c:v>
                </c:pt>
                <c:pt idx="79">
                  <c:v>25</c:v>
                </c:pt>
                <c:pt idx="80">
                  <c:v>25</c:v>
                </c:pt>
                <c:pt idx="81">
                  <c:v>21</c:v>
                </c:pt>
                <c:pt idx="82">
                  <c:v>21</c:v>
                </c:pt>
                <c:pt idx="83">
                  <c:v>5</c:v>
                </c:pt>
                <c:pt idx="84">
                  <c:v>25</c:v>
                </c:pt>
                <c:pt idx="85">
                  <c:v>5</c:v>
                </c:pt>
                <c:pt idx="86">
                  <c:v>19</c:v>
                </c:pt>
                <c:pt idx="87">
                  <c:v>19</c:v>
                </c:pt>
                <c:pt idx="88">
                  <c:v>8</c:v>
                </c:pt>
                <c:pt idx="89">
                  <c:v>25</c:v>
                </c:pt>
                <c:pt idx="90">
                  <c:v>19</c:v>
                </c:pt>
                <c:pt idx="91">
                  <c:v>25</c:v>
                </c:pt>
                <c:pt idx="92">
                  <c:v>21</c:v>
                </c:pt>
                <c:pt idx="93">
                  <c:v>19</c:v>
                </c:pt>
                <c:pt idx="94">
                  <c:v>8</c:v>
                </c:pt>
                <c:pt idx="95">
                  <c:v>9</c:v>
                </c:pt>
                <c:pt idx="96">
                  <c:v>8</c:v>
                </c:pt>
                <c:pt idx="97">
                  <c:v>8</c:v>
                </c:pt>
                <c:pt idx="98">
                  <c:v>19</c:v>
                </c:pt>
                <c:pt idx="99">
                  <c:v>9</c:v>
                </c:pt>
                <c:pt idx="100">
                  <c:v>21</c:v>
                </c:pt>
                <c:pt idx="101">
                  <c:v>8</c:v>
                </c:pt>
                <c:pt idx="102">
                  <c:v>9</c:v>
                </c:pt>
                <c:pt idx="103">
                  <c:v>29</c:v>
                </c:pt>
                <c:pt idx="104">
                  <c:v>19</c:v>
                </c:pt>
                <c:pt idx="105">
                  <c:v>19</c:v>
                </c:pt>
                <c:pt idx="106">
                  <c:v>25</c:v>
                </c:pt>
                <c:pt idx="107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E8-431F-96B3-70EFCB1DE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984575"/>
        <c:axId val="1239788543"/>
      </c:scatterChart>
      <c:valAx>
        <c:axId val="136498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9788543"/>
        <c:crosses val="autoZero"/>
        <c:crossBetween val="midCat"/>
      </c:valAx>
      <c:valAx>
        <c:axId val="123978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498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'1.1.4. Дискретное'!$F$20:$F$30</c15:sqref>
                  </c15:fullRef>
                </c:ext>
              </c:extLst>
              <c:f>'1.1.4. Дискретное'!$F$20:$F$29</c:f>
              <c:strCache>
                <c:ptCount val="10"/>
                <c:pt idx="0">
                  <c:v>5</c:v>
                </c:pt>
                <c:pt idx="1">
                  <c:v>8</c:v>
                </c:pt>
                <c:pt idx="2">
                  <c:v>9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25</c:v>
                </c:pt>
                <c:pt idx="9">
                  <c:v>29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'1.1.4. Дискретное'!$G$20:$G$30</c15:sqref>
                  </c15:fullRef>
                </c:ext>
              </c:extLst>
              <c:f>'1.1.4. Дискретное'!$G$20:$G$29</c:f>
              <c:numCache>
                <c:formatCode>General</c:formatCode>
                <c:ptCount val="10"/>
                <c:pt idx="0">
                  <c:v>3</c:v>
                </c:pt>
                <c:pt idx="1">
                  <c:v>25</c:v>
                </c:pt>
                <c:pt idx="2">
                  <c:v>16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20</c:v>
                </c:pt>
                <c:pt idx="7">
                  <c:v>16</c:v>
                </c:pt>
                <c:pt idx="8">
                  <c:v>13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9B-4288-9537-F66170AA7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0916335"/>
        <c:axId val="939489551"/>
      </c:barChart>
      <c:catAx>
        <c:axId val="1270916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9489551"/>
        <c:crosses val="autoZero"/>
        <c:auto val="1"/>
        <c:lblAlgn val="ctr"/>
        <c:lblOffset val="100"/>
        <c:noMultiLvlLbl val="0"/>
      </c:catAx>
      <c:valAx>
        <c:axId val="939489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091633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Отн. Част.</c:v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'1.1.4. Дискретное'!$F$20:$F$30</c15:sqref>
                  </c15:fullRef>
                </c:ext>
              </c:extLst>
              <c:f>'1.1.4. Дискретное'!$F$20:$F$29</c:f>
              <c:strCache>
                <c:ptCount val="10"/>
                <c:pt idx="0">
                  <c:v>5</c:v>
                </c:pt>
                <c:pt idx="1">
                  <c:v>8</c:v>
                </c:pt>
                <c:pt idx="2">
                  <c:v>9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25</c:v>
                </c:pt>
                <c:pt idx="9">
                  <c:v>29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'1.1.4. Дискретное'!$I$20:$I$30</c15:sqref>
                  </c15:fullRef>
                </c:ext>
              </c:extLst>
              <c:f>'1.1.4. Дискретное'!$I$20:$I$29</c:f>
              <c:numCache>
                <c:formatCode>General</c:formatCode>
                <c:ptCount val="10"/>
                <c:pt idx="0">
                  <c:v>2.7777777777777776E-2</c:v>
                </c:pt>
                <c:pt idx="1">
                  <c:v>0.23148148148148148</c:v>
                </c:pt>
                <c:pt idx="2">
                  <c:v>0.14814814814814814</c:v>
                </c:pt>
                <c:pt idx="3">
                  <c:v>0</c:v>
                </c:pt>
                <c:pt idx="4">
                  <c:v>2.7777777777777776E-2</c:v>
                </c:pt>
                <c:pt idx="5">
                  <c:v>2.7777777777777776E-2</c:v>
                </c:pt>
                <c:pt idx="6">
                  <c:v>0.18518518518518517</c:v>
                </c:pt>
                <c:pt idx="7">
                  <c:v>0.14814814814814814</c:v>
                </c:pt>
                <c:pt idx="8">
                  <c:v>0.12037037037037036</c:v>
                </c:pt>
                <c:pt idx="9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7-4FD6-BD9E-33544559D7CF}"/>
            </c:ext>
          </c:extLst>
        </c:ser>
        <c:ser>
          <c:idx val="1"/>
          <c:order val="1"/>
          <c:tx>
            <c:v>Теор</c:v>
          </c:tx>
          <c:invertIfNegative val="0"/>
          <c:cat>
            <c:strLit>
              <c:ptCount val="10"/>
              <c:pt idx="0">
                <c:v>5</c:v>
              </c:pt>
              <c:pt idx="1">
                <c:v>8</c:v>
              </c:pt>
              <c:pt idx="2">
                <c:v>9</c:v>
              </c:pt>
              <c:pt idx="3">
                <c:v>12</c:v>
              </c:pt>
              <c:pt idx="4">
                <c:v>14</c:v>
              </c:pt>
              <c:pt idx="5">
                <c:v>17</c:v>
              </c:pt>
              <c:pt idx="6">
                <c:v>19</c:v>
              </c:pt>
              <c:pt idx="7">
                <c:v>21</c:v>
              </c:pt>
              <c:pt idx="8">
                <c:v>25</c:v>
              </c:pt>
              <c:pt idx="9">
                <c:v>29</c:v>
              </c:pt>
              <c:pt idx="10">
                <c:v>Еще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'1.1.4. Дискретное'!$J$20:$J$29</c15:sqref>
                  </c15:fullRef>
                </c:ext>
              </c:extLst>
              <c:f>'1.1.4. Дискретное'!$J$20:$J$29</c:f>
              <c:numCache>
                <c:formatCode>General</c:formatCode>
                <c:ptCount val="10"/>
                <c:pt idx="0">
                  <c:v>3.9499510679353991E-2</c:v>
                </c:pt>
                <c:pt idx="1">
                  <c:v>0.18061737337100459</c:v>
                </c:pt>
                <c:pt idx="2">
                  <c:v>0.17044392717139495</c:v>
                </c:pt>
                <c:pt idx="3">
                  <c:v>5.2138911772999456E-3</c:v>
                </c:pt>
                <c:pt idx="4">
                  <c:v>4.0301222472258015E-2</c:v>
                </c:pt>
                <c:pt idx="5">
                  <c:v>2.163516031471335E-2</c:v>
                </c:pt>
                <c:pt idx="6">
                  <c:v>0.17057109524889005</c:v>
                </c:pt>
                <c:pt idx="7">
                  <c:v>0.10796569779335742</c:v>
                </c:pt>
                <c:pt idx="8">
                  <c:v>0.14343453332080086</c:v>
                </c:pt>
                <c:pt idx="9">
                  <c:v>0.12031758845092695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77-4FD6-BD9E-33544559D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0916335"/>
        <c:axId val="939489551"/>
      </c:barChart>
      <c:catAx>
        <c:axId val="1270916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9489551"/>
        <c:crosses val="autoZero"/>
        <c:auto val="1"/>
        <c:lblAlgn val="ctr"/>
        <c:lblOffset val="100"/>
        <c:noMultiLvlLbl val="0"/>
      </c:catAx>
      <c:valAx>
        <c:axId val="939489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091633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'1.1.4. Дискретное'!$K$19</c:f>
              <c:strCache>
                <c:ptCount val="1"/>
                <c:pt idx="0">
                  <c:v>F(Y)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'1.1.4. Дискретное'!$F$20:$F$29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9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25</c:v>
                </c:pt>
                <c:pt idx="9">
                  <c:v>29</c:v>
                </c:pt>
              </c:numCache>
            </c:numRef>
          </c:xVal>
          <c:yVal>
            <c:numRef>
              <c:f>'1.1.4. Дискретное'!$K$20:$K$29</c:f>
              <c:numCache>
                <c:formatCode>General</c:formatCode>
                <c:ptCount val="10"/>
                <c:pt idx="0">
                  <c:v>2.7777777777777776E-2</c:v>
                </c:pt>
                <c:pt idx="1">
                  <c:v>0.25925925925925924</c:v>
                </c:pt>
                <c:pt idx="2">
                  <c:v>0.40740740740740738</c:v>
                </c:pt>
                <c:pt idx="3">
                  <c:v>0.40740740740740738</c:v>
                </c:pt>
                <c:pt idx="4">
                  <c:v>0.43518518518518517</c:v>
                </c:pt>
                <c:pt idx="5">
                  <c:v>0.46296296296296297</c:v>
                </c:pt>
                <c:pt idx="6">
                  <c:v>0.64814814814814814</c:v>
                </c:pt>
                <c:pt idx="7">
                  <c:v>0.79629629629629628</c:v>
                </c:pt>
                <c:pt idx="8">
                  <c:v>0.91666666666666663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04-40E7-87BC-25E9ABCC5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080143"/>
        <c:axId val="1619891535"/>
      </c:scatterChart>
      <c:valAx>
        <c:axId val="191108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9891535"/>
        <c:crosses val="autoZero"/>
        <c:crossBetween val="midCat"/>
      </c:valAx>
      <c:valAx>
        <c:axId val="161989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108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</xdr:colOff>
      <xdr:row>6</xdr:row>
      <xdr:rowOff>73819</xdr:rowOff>
    </xdr:from>
    <xdr:to>
      <xdr:col>12</xdr:col>
      <xdr:colOff>628650</xdr:colOff>
      <xdr:row>14</xdr:row>
      <xdr:rowOff>157163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248AE01-5262-4C99-939F-23E4B93B9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15</xdr:row>
      <xdr:rowOff>4764</xdr:rowOff>
    </xdr:from>
    <xdr:to>
      <xdr:col>14</xdr:col>
      <xdr:colOff>395288</xdr:colOff>
      <xdr:row>25</xdr:row>
      <xdr:rowOff>100013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81D72AB-43F9-4858-B990-F534ED2EF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404812</xdr:colOff>
      <xdr:row>15</xdr:row>
      <xdr:rowOff>4763</xdr:rowOff>
    </xdr:from>
    <xdr:to>
      <xdr:col>18</xdr:col>
      <xdr:colOff>142875</xdr:colOff>
      <xdr:row>25</xdr:row>
      <xdr:rowOff>100012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176670C-5FF6-4BA2-9B0C-EA83E6A5F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11905</xdr:colOff>
      <xdr:row>3</xdr:row>
      <xdr:rowOff>11905</xdr:rowOff>
    </xdr:from>
    <xdr:to>
      <xdr:col>17</xdr:col>
      <xdr:colOff>4763</xdr:colOff>
      <xdr:row>14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DDE0D6C-5C70-4B01-A319-7DA83843A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192881</xdr:colOff>
      <xdr:row>6</xdr:row>
      <xdr:rowOff>64293</xdr:rowOff>
    </xdr:from>
    <xdr:to>
      <xdr:col>10</xdr:col>
      <xdr:colOff>221456</xdr:colOff>
      <xdr:row>21</xdr:row>
      <xdr:rowOff>92868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9BE287D-A9C2-4508-8E27-8CB9933E4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261938</xdr:colOff>
      <xdr:row>6</xdr:row>
      <xdr:rowOff>61913</xdr:rowOff>
    </xdr:from>
    <xdr:to>
      <xdr:col>14</xdr:col>
      <xdr:colOff>328613</xdr:colOff>
      <xdr:row>16</xdr:row>
      <xdr:rowOff>61913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681CBBF-8272-430F-B460-3775B7D47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42863</xdr:colOff>
      <xdr:row>16</xdr:row>
      <xdr:rowOff>114300</xdr:rowOff>
    </xdr:from>
    <xdr:to>
      <xdr:col>17</xdr:col>
      <xdr:colOff>238125</xdr:colOff>
      <xdr:row>26</xdr:row>
      <xdr:rowOff>109537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87404FD-E2E6-4ACE-8130-BFBAD0263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30956</xdr:colOff>
      <xdr:row>26</xdr:row>
      <xdr:rowOff>154780</xdr:rowOff>
    </xdr:from>
    <xdr:to>
      <xdr:col>17</xdr:col>
      <xdr:colOff>233363</xdr:colOff>
      <xdr:row>38</xdr:row>
      <xdr:rowOff>176213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CF29C42-BC33-4D84-96C7-C28414CC6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145254</xdr:colOff>
      <xdr:row>5</xdr:row>
      <xdr:rowOff>66675</xdr:rowOff>
    </xdr:from>
    <xdr:to>
      <xdr:col>10</xdr:col>
      <xdr:colOff>23812</xdr:colOff>
      <xdr:row>19</xdr:row>
      <xdr:rowOff>140493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E927441-D76A-4BAB-9B34-3150FD17D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61913</xdr:colOff>
      <xdr:row>5</xdr:row>
      <xdr:rowOff>61913</xdr:rowOff>
    </xdr:from>
    <xdr:to>
      <xdr:col>16</xdr:col>
      <xdr:colOff>61913</xdr:colOff>
      <xdr:row>15</xdr:row>
      <xdr:rowOff>61913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B2C0078-79DA-4403-8E17-0CF8B74E9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95250</xdr:colOff>
      <xdr:row>15</xdr:row>
      <xdr:rowOff>95250</xdr:rowOff>
    </xdr:from>
    <xdr:to>
      <xdr:col>18</xdr:col>
      <xdr:colOff>95250</xdr:colOff>
      <xdr:row>25</xdr:row>
      <xdr:rowOff>90487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FF20B83-08AD-48F4-8EE7-E21A4FB22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97631</xdr:colOff>
      <xdr:row>25</xdr:row>
      <xdr:rowOff>130968</xdr:rowOff>
    </xdr:from>
    <xdr:to>
      <xdr:col>18</xdr:col>
      <xdr:colOff>100013</xdr:colOff>
      <xdr:row>38</xdr:row>
      <xdr:rowOff>76200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AAEF608-F9A9-47D7-A615-E33FB9419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</xdr:colOff>
      <xdr:row>1</xdr:row>
      <xdr:rowOff>26193</xdr:rowOff>
    </xdr:from>
    <xdr:to>
      <xdr:col>11</xdr:col>
      <xdr:colOff>73818</xdr:colOff>
      <xdr:row>16</xdr:row>
      <xdr:rowOff>54768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73EB581-5AEC-404F-BF06-F59C94417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100013</xdr:colOff>
      <xdr:row>6</xdr:row>
      <xdr:rowOff>38100</xdr:rowOff>
    </xdr:from>
    <xdr:to>
      <xdr:col>17</xdr:col>
      <xdr:colOff>100013</xdr:colOff>
      <xdr:row>16</xdr:row>
      <xdr:rowOff>42863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43903DC-A720-4B58-8308-B8C4F0C78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100012</xdr:colOff>
      <xdr:row>16</xdr:row>
      <xdr:rowOff>61913</xdr:rowOff>
    </xdr:from>
    <xdr:to>
      <xdr:col>17</xdr:col>
      <xdr:colOff>100012</xdr:colOff>
      <xdr:row>26</xdr:row>
      <xdr:rowOff>61913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3E8D9DF-34D1-4363-B13E-54ED6F32B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107155</xdr:colOff>
      <xdr:row>26</xdr:row>
      <xdr:rowOff>92868</xdr:rowOff>
    </xdr:from>
    <xdr:to>
      <xdr:col>17</xdr:col>
      <xdr:colOff>114300</xdr:colOff>
      <xdr:row>39</xdr:row>
      <xdr:rowOff>76200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8558B7F-1439-450D-91D9-462754D60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9DAF-2145-4BB3-BA52-7543CEC85891}">
  <dimension ref="A1:K194"/>
  <sheetViews>
    <sheetView topLeftCell="A10" zoomScaleNormal="100" workbookViewId="0">
      <selection activeCell="D5" sqref="D5"/>
    </sheetView>
  </sheetViews>
  <sheetFormatPr defaultRowHeight="14.25" x14ac:dyDescent="0.45"/>
  <cols>
    <col min="3" max="3" width="13.86328125" customWidth="1"/>
  </cols>
  <sheetData>
    <row r="1" spans="1:4" x14ac:dyDescent="0.45">
      <c r="A1" s="2" t="s">
        <v>6</v>
      </c>
      <c r="B1" s="2"/>
      <c r="C1" s="2"/>
    </row>
    <row r="4" spans="1:4" x14ac:dyDescent="0.45">
      <c r="A4" s="2">
        <v>1</v>
      </c>
      <c r="B4" t="s">
        <v>0</v>
      </c>
    </row>
    <row r="5" spans="1:4" x14ac:dyDescent="0.45">
      <c r="B5" t="s">
        <v>1</v>
      </c>
      <c r="D5">
        <v>0.33081453901791402</v>
      </c>
    </row>
    <row r="6" spans="1:4" x14ac:dyDescent="0.45">
      <c r="B6" t="s">
        <v>2</v>
      </c>
      <c r="D6" s="1">
        <v>184.5698416089358</v>
      </c>
    </row>
    <row r="8" spans="1:4" x14ac:dyDescent="0.45">
      <c r="A8" s="2">
        <v>2</v>
      </c>
      <c r="B8" t="s">
        <v>3</v>
      </c>
    </row>
    <row r="9" spans="1:4" x14ac:dyDescent="0.45">
      <c r="A9" t="s">
        <v>4</v>
      </c>
      <c r="B9" t="s">
        <v>5</v>
      </c>
    </row>
    <row r="10" spans="1:4" x14ac:dyDescent="0.45">
      <c r="A10">
        <v>1</v>
      </c>
      <c r="B10">
        <v>1</v>
      </c>
    </row>
    <row r="11" spans="1:4" x14ac:dyDescent="0.45">
      <c r="A11">
        <f>A10+1</f>
        <v>2</v>
      </c>
      <c r="B11">
        <v>1</v>
      </c>
    </row>
    <row r="12" spans="1:4" x14ac:dyDescent="0.45">
      <c r="A12">
        <f t="shared" ref="A12:A75" si="0">A11+1</f>
        <v>3</v>
      </c>
      <c r="B12">
        <v>0</v>
      </c>
    </row>
    <row r="13" spans="1:4" x14ac:dyDescent="0.45">
      <c r="A13">
        <f t="shared" si="0"/>
        <v>4</v>
      </c>
      <c r="B13">
        <v>0</v>
      </c>
    </row>
    <row r="14" spans="1:4" x14ac:dyDescent="0.45">
      <c r="A14">
        <f t="shared" si="0"/>
        <v>5</v>
      </c>
      <c r="B14">
        <v>0</v>
      </c>
    </row>
    <row r="15" spans="1:4" x14ac:dyDescent="0.45">
      <c r="A15">
        <f t="shared" si="0"/>
        <v>6</v>
      </c>
      <c r="B15">
        <v>0</v>
      </c>
    </row>
    <row r="16" spans="1:4" x14ac:dyDescent="0.45">
      <c r="A16">
        <f t="shared" si="0"/>
        <v>7</v>
      </c>
      <c r="B16">
        <v>1</v>
      </c>
    </row>
    <row r="17" spans="1:11" ht="14.65" thickBot="1" x14ac:dyDescent="0.5">
      <c r="A17">
        <f t="shared" si="0"/>
        <v>8</v>
      </c>
      <c r="B17">
        <v>1</v>
      </c>
      <c r="D17" s="2">
        <v>3</v>
      </c>
      <c r="E17" t="s">
        <v>7</v>
      </c>
    </row>
    <row r="18" spans="1:11" x14ac:dyDescent="0.45">
      <c r="A18">
        <f t="shared" si="0"/>
        <v>9</v>
      </c>
      <c r="B18">
        <v>0</v>
      </c>
      <c r="D18" t="s">
        <v>8</v>
      </c>
      <c r="F18" s="6" t="s">
        <v>9</v>
      </c>
      <c r="G18" s="6" t="s">
        <v>11</v>
      </c>
      <c r="I18" t="s">
        <v>13</v>
      </c>
      <c r="J18" t="s">
        <v>14</v>
      </c>
      <c r="K18" t="s">
        <v>15</v>
      </c>
    </row>
    <row r="19" spans="1:11" x14ac:dyDescent="0.45">
      <c r="A19">
        <f t="shared" si="0"/>
        <v>10</v>
      </c>
      <c r="B19">
        <v>1</v>
      </c>
      <c r="D19">
        <v>0</v>
      </c>
      <c r="F19" s="3">
        <v>0</v>
      </c>
      <c r="G19" s="4">
        <v>121</v>
      </c>
      <c r="I19">
        <f>G19/D6</f>
        <v>0.65557839214259739</v>
      </c>
      <c r="J19">
        <f>1-$D$5</f>
        <v>0.66918546098208598</v>
      </c>
      <c r="K19">
        <f>I19</f>
        <v>0.65557839214259739</v>
      </c>
    </row>
    <row r="20" spans="1:11" x14ac:dyDescent="0.45">
      <c r="A20">
        <f t="shared" si="0"/>
        <v>11</v>
      </c>
      <c r="B20">
        <v>0</v>
      </c>
      <c r="D20">
        <v>1</v>
      </c>
      <c r="F20" s="3">
        <v>1</v>
      </c>
      <c r="G20" s="4">
        <v>64</v>
      </c>
      <c r="I20">
        <f>G20/D6</f>
        <v>0.34675220741426638</v>
      </c>
      <c r="J20">
        <f>$D$5</f>
        <v>0.33081453901791402</v>
      </c>
      <c r="K20">
        <f>K19+I20</f>
        <v>1.0023305995568639</v>
      </c>
    </row>
    <row r="21" spans="1:11" ht="14.65" thickBot="1" x14ac:dyDescent="0.5">
      <c r="A21">
        <f t="shared" si="0"/>
        <v>12</v>
      </c>
      <c r="B21">
        <v>1</v>
      </c>
      <c r="F21" s="5" t="s">
        <v>10</v>
      </c>
      <c r="G21" s="5">
        <v>0</v>
      </c>
    </row>
    <row r="22" spans="1:11" x14ac:dyDescent="0.45">
      <c r="A22">
        <f t="shared" si="0"/>
        <v>13</v>
      </c>
      <c r="B22">
        <v>0</v>
      </c>
      <c r="F22" t="s">
        <v>12</v>
      </c>
      <c r="G22">
        <f>SUM(G19:G20)</f>
        <v>185</v>
      </c>
      <c r="H22">
        <f>SUM(H19:H20)</f>
        <v>0</v>
      </c>
      <c r="I22">
        <f>SUM(I19:I20)</f>
        <v>1.0023305995568639</v>
      </c>
      <c r="J22">
        <f>SUM(J19:J20)</f>
        <v>1</v>
      </c>
    </row>
    <row r="23" spans="1:11" x14ac:dyDescent="0.45">
      <c r="A23">
        <f t="shared" si="0"/>
        <v>14</v>
      </c>
      <c r="B23">
        <v>0</v>
      </c>
    </row>
    <row r="24" spans="1:11" x14ac:dyDescent="0.45">
      <c r="A24">
        <f t="shared" si="0"/>
        <v>15</v>
      </c>
      <c r="B24">
        <v>0</v>
      </c>
      <c r="D24" s="2">
        <v>4</v>
      </c>
      <c r="E24" t="s">
        <v>16</v>
      </c>
    </row>
    <row r="25" spans="1:11" x14ac:dyDescent="0.45">
      <c r="A25">
        <f t="shared" si="0"/>
        <v>16</v>
      </c>
      <c r="B25">
        <v>0</v>
      </c>
      <c r="D25" t="s">
        <v>17</v>
      </c>
      <c r="H25">
        <f>AVERAGE(B10:B194)</f>
        <v>0.34594594594594597</v>
      </c>
    </row>
    <row r="26" spans="1:11" x14ac:dyDescent="0.45">
      <c r="A26">
        <f t="shared" si="0"/>
        <v>17</v>
      </c>
      <c r="B26">
        <v>0</v>
      </c>
      <c r="D26" t="s">
        <v>18</v>
      </c>
      <c r="H26">
        <f>_xlfn.STDEV.S(B10:B194)</f>
        <v>0.47696652113085564</v>
      </c>
    </row>
    <row r="27" spans="1:11" x14ac:dyDescent="0.45">
      <c r="A27">
        <f t="shared" si="0"/>
        <v>18</v>
      </c>
      <c r="B27">
        <v>0</v>
      </c>
      <c r="D27" t="s">
        <v>19</v>
      </c>
      <c r="H27">
        <f>_xlfn.VAR.S(B10:B194)</f>
        <v>0.22749706227967098</v>
      </c>
    </row>
    <row r="28" spans="1:11" x14ac:dyDescent="0.45">
      <c r="A28">
        <f t="shared" si="0"/>
        <v>19</v>
      </c>
      <c r="B28">
        <v>0</v>
      </c>
      <c r="D28" t="s">
        <v>20</v>
      </c>
      <c r="H28">
        <f>SKEW(B10:B194)</f>
        <v>0.6530341146325731</v>
      </c>
    </row>
    <row r="29" spans="1:11" x14ac:dyDescent="0.45">
      <c r="A29">
        <f t="shared" si="0"/>
        <v>20</v>
      </c>
      <c r="B29">
        <v>0</v>
      </c>
      <c r="D29" t="s">
        <v>21</v>
      </c>
      <c r="H29">
        <f>KURT(B10:B194)</f>
        <v>-1.5908634956697492</v>
      </c>
    </row>
    <row r="30" spans="1:11" x14ac:dyDescent="0.45">
      <c r="A30">
        <f t="shared" si="0"/>
        <v>21</v>
      </c>
      <c r="B30">
        <v>0</v>
      </c>
    </row>
    <row r="31" spans="1:11" x14ac:dyDescent="0.45">
      <c r="A31">
        <f t="shared" si="0"/>
        <v>22</v>
      </c>
      <c r="B31">
        <v>0</v>
      </c>
    </row>
    <row r="32" spans="1:11" x14ac:dyDescent="0.45">
      <c r="A32">
        <f t="shared" si="0"/>
        <v>23</v>
      </c>
      <c r="B32">
        <v>0</v>
      </c>
    </row>
    <row r="33" spans="1:2" x14ac:dyDescent="0.45">
      <c r="A33">
        <f t="shared" si="0"/>
        <v>24</v>
      </c>
      <c r="B33">
        <v>1</v>
      </c>
    </row>
    <row r="34" spans="1:2" x14ac:dyDescent="0.45">
      <c r="A34">
        <f t="shared" si="0"/>
        <v>25</v>
      </c>
      <c r="B34">
        <v>1</v>
      </c>
    </row>
    <row r="35" spans="1:2" x14ac:dyDescent="0.45">
      <c r="A35">
        <f t="shared" si="0"/>
        <v>26</v>
      </c>
      <c r="B35">
        <v>0</v>
      </c>
    </row>
    <row r="36" spans="1:2" x14ac:dyDescent="0.45">
      <c r="A36">
        <f t="shared" si="0"/>
        <v>27</v>
      </c>
      <c r="B36">
        <v>0</v>
      </c>
    </row>
    <row r="37" spans="1:2" x14ac:dyDescent="0.45">
      <c r="A37">
        <f t="shared" si="0"/>
        <v>28</v>
      </c>
      <c r="B37">
        <v>0</v>
      </c>
    </row>
    <row r="38" spans="1:2" x14ac:dyDescent="0.45">
      <c r="A38">
        <f t="shared" si="0"/>
        <v>29</v>
      </c>
      <c r="B38">
        <v>0</v>
      </c>
    </row>
    <row r="39" spans="1:2" x14ac:dyDescent="0.45">
      <c r="A39">
        <f t="shared" si="0"/>
        <v>30</v>
      </c>
      <c r="B39">
        <v>0</v>
      </c>
    </row>
    <row r="40" spans="1:2" x14ac:dyDescent="0.45">
      <c r="A40">
        <f t="shared" si="0"/>
        <v>31</v>
      </c>
      <c r="B40">
        <v>1</v>
      </c>
    </row>
    <row r="41" spans="1:2" x14ac:dyDescent="0.45">
      <c r="A41">
        <f t="shared" si="0"/>
        <v>32</v>
      </c>
      <c r="B41">
        <v>0</v>
      </c>
    </row>
    <row r="42" spans="1:2" x14ac:dyDescent="0.45">
      <c r="A42">
        <f t="shared" si="0"/>
        <v>33</v>
      </c>
      <c r="B42">
        <v>1</v>
      </c>
    </row>
    <row r="43" spans="1:2" x14ac:dyDescent="0.45">
      <c r="A43">
        <f t="shared" si="0"/>
        <v>34</v>
      </c>
      <c r="B43">
        <v>0</v>
      </c>
    </row>
    <row r="44" spans="1:2" x14ac:dyDescent="0.45">
      <c r="A44">
        <f t="shared" si="0"/>
        <v>35</v>
      </c>
      <c r="B44">
        <v>0</v>
      </c>
    </row>
    <row r="45" spans="1:2" x14ac:dyDescent="0.45">
      <c r="A45">
        <f t="shared" si="0"/>
        <v>36</v>
      </c>
      <c r="B45">
        <v>0</v>
      </c>
    </row>
    <row r="46" spans="1:2" x14ac:dyDescent="0.45">
      <c r="A46">
        <f t="shared" si="0"/>
        <v>37</v>
      </c>
      <c r="B46">
        <v>0</v>
      </c>
    </row>
    <row r="47" spans="1:2" x14ac:dyDescent="0.45">
      <c r="A47">
        <f t="shared" si="0"/>
        <v>38</v>
      </c>
      <c r="B47">
        <v>0</v>
      </c>
    </row>
    <row r="48" spans="1:2" x14ac:dyDescent="0.45">
      <c r="A48">
        <f t="shared" si="0"/>
        <v>39</v>
      </c>
      <c r="B48">
        <v>0</v>
      </c>
    </row>
    <row r="49" spans="1:2" x14ac:dyDescent="0.45">
      <c r="A49">
        <f t="shared" si="0"/>
        <v>40</v>
      </c>
      <c r="B49">
        <v>1</v>
      </c>
    </row>
    <row r="50" spans="1:2" x14ac:dyDescent="0.45">
      <c r="A50">
        <f t="shared" si="0"/>
        <v>41</v>
      </c>
      <c r="B50">
        <v>0</v>
      </c>
    </row>
    <row r="51" spans="1:2" x14ac:dyDescent="0.45">
      <c r="A51">
        <f t="shared" si="0"/>
        <v>42</v>
      </c>
      <c r="B51">
        <v>0</v>
      </c>
    </row>
    <row r="52" spans="1:2" x14ac:dyDescent="0.45">
      <c r="A52">
        <f t="shared" si="0"/>
        <v>43</v>
      </c>
      <c r="B52">
        <v>0</v>
      </c>
    </row>
    <row r="53" spans="1:2" x14ac:dyDescent="0.45">
      <c r="A53">
        <f t="shared" si="0"/>
        <v>44</v>
      </c>
      <c r="B53">
        <v>0</v>
      </c>
    </row>
    <row r="54" spans="1:2" x14ac:dyDescent="0.45">
      <c r="A54">
        <f t="shared" si="0"/>
        <v>45</v>
      </c>
      <c r="B54">
        <v>0</v>
      </c>
    </row>
    <row r="55" spans="1:2" x14ac:dyDescent="0.45">
      <c r="A55">
        <f t="shared" si="0"/>
        <v>46</v>
      </c>
      <c r="B55">
        <v>0</v>
      </c>
    </row>
    <row r="56" spans="1:2" x14ac:dyDescent="0.45">
      <c r="A56">
        <f t="shared" si="0"/>
        <v>47</v>
      </c>
      <c r="B56">
        <v>1</v>
      </c>
    </row>
    <row r="57" spans="1:2" x14ac:dyDescent="0.45">
      <c r="A57">
        <f t="shared" si="0"/>
        <v>48</v>
      </c>
      <c r="B57">
        <v>0</v>
      </c>
    </row>
    <row r="58" spans="1:2" x14ac:dyDescent="0.45">
      <c r="A58">
        <f t="shared" si="0"/>
        <v>49</v>
      </c>
      <c r="B58">
        <v>1</v>
      </c>
    </row>
    <row r="59" spans="1:2" x14ac:dyDescent="0.45">
      <c r="A59">
        <f t="shared" si="0"/>
        <v>50</v>
      </c>
      <c r="B59">
        <v>1</v>
      </c>
    </row>
    <row r="60" spans="1:2" x14ac:dyDescent="0.45">
      <c r="A60">
        <f t="shared" si="0"/>
        <v>51</v>
      </c>
      <c r="B60">
        <v>0</v>
      </c>
    </row>
    <row r="61" spans="1:2" x14ac:dyDescent="0.45">
      <c r="A61">
        <f t="shared" si="0"/>
        <v>52</v>
      </c>
      <c r="B61">
        <v>0</v>
      </c>
    </row>
    <row r="62" spans="1:2" x14ac:dyDescent="0.45">
      <c r="A62">
        <f t="shared" si="0"/>
        <v>53</v>
      </c>
      <c r="B62">
        <v>0</v>
      </c>
    </row>
    <row r="63" spans="1:2" x14ac:dyDescent="0.45">
      <c r="A63">
        <f t="shared" si="0"/>
        <v>54</v>
      </c>
      <c r="B63">
        <v>0</v>
      </c>
    </row>
    <row r="64" spans="1:2" x14ac:dyDescent="0.45">
      <c r="A64">
        <f t="shared" si="0"/>
        <v>55</v>
      </c>
      <c r="B64">
        <v>0</v>
      </c>
    </row>
    <row r="65" spans="1:2" x14ac:dyDescent="0.45">
      <c r="A65">
        <f t="shared" si="0"/>
        <v>56</v>
      </c>
      <c r="B65">
        <v>0</v>
      </c>
    </row>
    <row r="66" spans="1:2" x14ac:dyDescent="0.45">
      <c r="A66">
        <f t="shared" si="0"/>
        <v>57</v>
      </c>
      <c r="B66">
        <v>0</v>
      </c>
    </row>
    <row r="67" spans="1:2" x14ac:dyDescent="0.45">
      <c r="A67">
        <f t="shared" si="0"/>
        <v>58</v>
      </c>
      <c r="B67">
        <v>1</v>
      </c>
    </row>
    <row r="68" spans="1:2" x14ac:dyDescent="0.45">
      <c r="A68">
        <f t="shared" si="0"/>
        <v>59</v>
      </c>
      <c r="B68">
        <v>1</v>
      </c>
    </row>
    <row r="69" spans="1:2" x14ac:dyDescent="0.45">
      <c r="A69">
        <f t="shared" si="0"/>
        <v>60</v>
      </c>
      <c r="B69">
        <v>0</v>
      </c>
    </row>
    <row r="70" spans="1:2" x14ac:dyDescent="0.45">
      <c r="A70">
        <f t="shared" si="0"/>
        <v>61</v>
      </c>
      <c r="B70">
        <v>1</v>
      </c>
    </row>
    <row r="71" spans="1:2" x14ac:dyDescent="0.45">
      <c r="A71">
        <f t="shared" si="0"/>
        <v>62</v>
      </c>
      <c r="B71">
        <v>1</v>
      </c>
    </row>
    <row r="72" spans="1:2" x14ac:dyDescent="0.45">
      <c r="A72">
        <f t="shared" si="0"/>
        <v>63</v>
      </c>
      <c r="B72">
        <v>0</v>
      </c>
    </row>
    <row r="73" spans="1:2" x14ac:dyDescent="0.45">
      <c r="A73">
        <f t="shared" si="0"/>
        <v>64</v>
      </c>
      <c r="B73">
        <v>0</v>
      </c>
    </row>
    <row r="74" spans="1:2" x14ac:dyDescent="0.45">
      <c r="A74">
        <f t="shared" si="0"/>
        <v>65</v>
      </c>
      <c r="B74">
        <v>1</v>
      </c>
    </row>
    <row r="75" spans="1:2" x14ac:dyDescent="0.45">
      <c r="A75">
        <f t="shared" si="0"/>
        <v>66</v>
      </c>
      <c r="B75">
        <v>1</v>
      </c>
    </row>
    <row r="76" spans="1:2" x14ac:dyDescent="0.45">
      <c r="A76">
        <f t="shared" ref="A76:A139" si="1">A75+1</f>
        <v>67</v>
      </c>
      <c r="B76">
        <v>0</v>
      </c>
    </row>
    <row r="77" spans="1:2" x14ac:dyDescent="0.45">
      <c r="A77">
        <f t="shared" si="1"/>
        <v>68</v>
      </c>
      <c r="B77">
        <v>1</v>
      </c>
    </row>
    <row r="78" spans="1:2" x14ac:dyDescent="0.45">
      <c r="A78">
        <f t="shared" si="1"/>
        <v>69</v>
      </c>
      <c r="B78">
        <v>0</v>
      </c>
    </row>
    <row r="79" spans="1:2" x14ac:dyDescent="0.45">
      <c r="A79">
        <f t="shared" si="1"/>
        <v>70</v>
      </c>
      <c r="B79">
        <v>1</v>
      </c>
    </row>
    <row r="80" spans="1:2" x14ac:dyDescent="0.45">
      <c r="A80">
        <f t="shared" si="1"/>
        <v>71</v>
      </c>
      <c r="B80">
        <v>1</v>
      </c>
    </row>
    <row r="81" spans="1:2" x14ac:dyDescent="0.45">
      <c r="A81">
        <f t="shared" si="1"/>
        <v>72</v>
      </c>
      <c r="B81">
        <v>0</v>
      </c>
    </row>
    <row r="82" spans="1:2" x14ac:dyDescent="0.45">
      <c r="A82">
        <f t="shared" si="1"/>
        <v>73</v>
      </c>
      <c r="B82">
        <v>0</v>
      </c>
    </row>
    <row r="83" spans="1:2" x14ac:dyDescent="0.45">
      <c r="A83">
        <f t="shared" si="1"/>
        <v>74</v>
      </c>
      <c r="B83">
        <v>0</v>
      </c>
    </row>
    <row r="84" spans="1:2" x14ac:dyDescent="0.45">
      <c r="A84">
        <f t="shared" si="1"/>
        <v>75</v>
      </c>
      <c r="B84">
        <v>0</v>
      </c>
    </row>
    <row r="85" spans="1:2" x14ac:dyDescent="0.45">
      <c r="A85">
        <f t="shared" si="1"/>
        <v>76</v>
      </c>
      <c r="B85">
        <v>0</v>
      </c>
    </row>
    <row r="86" spans="1:2" x14ac:dyDescent="0.45">
      <c r="A86">
        <f t="shared" si="1"/>
        <v>77</v>
      </c>
      <c r="B86">
        <v>0</v>
      </c>
    </row>
    <row r="87" spans="1:2" x14ac:dyDescent="0.45">
      <c r="A87">
        <f t="shared" si="1"/>
        <v>78</v>
      </c>
      <c r="B87">
        <v>1</v>
      </c>
    </row>
    <row r="88" spans="1:2" x14ac:dyDescent="0.45">
      <c r="A88">
        <f t="shared" si="1"/>
        <v>79</v>
      </c>
      <c r="B88">
        <v>0</v>
      </c>
    </row>
    <row r="89" spans="1:2" x14ac:dyDescent="0.45">
      <c r="A89">
        <f t="shared" si="1"/>
        <v>80</v>
      </c>
      <c r="B89">
        <v>1</v>
      </c>
    </row>
    <row r="90" spans="1:2" x14ac:dyDescent="0.45">
      <c r="A90">
        <f t="shared" si="1"/>
        <v>81</v>
      </c>
      <c r="B90">
        <v>1</v>
      </c>
    </row>
    <row r="91" spans="1:2" x14ac:dyDescent="0.45">
      <c r="A91">
        <f t="shared" si="1"/>
        <v>82</v>
      </c>
      <c r="B91">
        <v>1</v>
      </c>
    </row>
    <row r="92" spans="1:2" x14ac:dyDescent="0.45">
      <c r="A92">
        <f t="shared" si="1"/>
        <v>83</v>
      </c>
      <c r="B92">
        <v>0</v>
      </c>
    </row>
    <row r="93" spans="1:2" x14ac:dyDescent="0.45">
      <c r="A93">
        <f t="shared" si="1"/>
        <v>84</v>
      </c>
      <c r="B93">
        <v>0</v>
      </c>
    </row>
    <row r="94" spans="1:2" x14ac:dyDescent="0.45">
      <c r="A94">
        <f t="shared" si="1"/>
        <v>85</v>
      </c>
      <c r="B94">
        <v>0</v>
      </c>
    </row>
    <row r="95" spans="1:2" x14ac:dyDescent="0.45">
      <c r="A95">
        <f t="shared" si="1"/>
        <v>86</v>
      </c>
      <c r="B95">
        <v>0</v>
      </c>
    </row>
    <row r="96" spans="1:2" x14ac:dyDescent="0.45">
      <c r="A96">
        <f t="shared" si="1"/>
        <v>87</v>
      </c>
      <c r="B96">
        <v>1</v>
      </c>
    </row>
    <row r="97" spans="1:2" x14ac:dyDescent="0.45">
      <c r="A97">
        <f t="shared" si="1"/>
        <v>88</v>
      </c>
      <c r="B97">
        <v>0</v>
      </c>
    </row>
    <row r="98" spans="1:2" x14ac:dyDescent="0.45">
      <c r="A98">
        <f t="shared" si="1"/>
        <v>89</v>
      </c>
      <c r="B98">
        <v>0</v>
      </c>
    </row>
    <row r="99" spans="1:2" x14ac:dyDescent="0.45">
      <c r="A99">
        <f t="shared" si="1"/>
        <v>90</v>
      </c>
      <c r="B99">
        <v>0</v>
      </c>
    </row>
    <row r="100" spans="1:2" x14ac:dyDescent="0.45">
      <c r="A100">
        <f t="shared" si="1"/>
        <v>91</v>
      </c>
      <c r="B100">
        <v>0</v>
      </c>
    </row>
    <row r="101" spans="1:2" x14ac:dyDescent="0.45">
      <c r="A101">
        <f t="shared" si="1"/>
        <v>92</v>
      </c>
      <c r="B101">
        <v>1</v>
      </c>
    </row>
    <row r="102" spans="1:2" x14ac:dyDescent="0.45">
      <c r="A102">
        <f t="shared" si="1"/>
        <v>93</v>
      </c>
      <c r="B102">
        <v>1</v>
      </c>
    </row>
    <row r="103" spans="1:2" x14ac:dyDescent="0.45">
      <c r="A103">
        <f t="shared" si="1"/>
        <v>94</v>
      </c>
      <c r="B103">
        <v>1</v>
      </c>
    </row>
    <row r="104" spans="1:2" x14ac:dyDescent="0.45">
      <c r="A104">
        <f t="shared" si="1"/>
        <v>95</v>
      </c>
      <c r="B104">
        <v>0</v>
      </c>
    </row>
    <row r="105" spans="1:2" x14ac:dyDescent="0.45">
      <c r="A105">
        <f t="shared" si="1"/>
        <v>96</v>
      </c>
      <c r="B105">
        <v>1</v>
      </c>
    </row>
    <row r="106" spans="1:2" x14ac:dyDescent="0.45">
      <c r="A106">
        <f t="shared" si="1"/>
        <v>97</v>
      </c>
      <c r="B106">
        <v>1</v>
      </c>
    </row>
    <row r="107" spans="1:2" x14ac:dyDescent="0.45">
      <c r="A107">
        <f t="shared" si="1"/>
        <v>98</v>
      </c>
      <c r="B107">
        <v>1</v>
      </c>
    </row>
    <row r="108" spans="1:2" x14ac:dyDescent="0.45">
      <c r="A108">
        <f t="shared" si="1"/>
        <v>99</v>
      </c>
      <c r="B108">
        <v>1</v>
      </c>
    </row>
    <row r="109" spans="1:2" x14ac:dyDescent="0.45">
      <c r="A109">
        <f t="shared" si="1"/>
        <v>100</v>
      </c>
      <c r="B109">
        <v>0</v>
      </c>
    </row>
    <row r="110" spans="1:2" x14ac:dyDescent="0.45">
      <c r="A110">
        <f t="shared" si="1"/>
        <v>101</v>
      </c>
      <c r="B110">
        <v>0</v>
      </c>
    </row>
    <row r="111" spans="1:2" x14ac:dyDescent="0.45">
      <c r="A111">
        <f t="shared" si="1"/>
        <v>102</v>
      </c>
      <c r="B111">
        <v>0</v>
      </c>
    </row>
    <row r="112" spans="1:2" x14ac:dyDescent="0.45">
      <c r="A112">
        <f t="shared" si="1"/>
        <v>103</v>
      </c>
      <c r="B112">
        <v>0</v>
      </c>
    </row>
    <row r="113" spans="1:2" x14ac:dyDescent="0.45">
      <c r="A113">
        <f t="shared" si="1"/>
        <v>104</v>
      </c>
      <c r="B113">
        <v>1</v>
      </c>
    </row>
    <row r="114" spans="1:2" x14ac:dyDescent="0.45">
      <c r="A114">
        <f t="shared" si="1"/>
        <v>105</v>
      </c>
      <c r="B114">
        <v>0</v>
      </c>
    </row>
    <row r="115" spans="1:2" x14ac:dyDescent="0.45">
      <c r="A115">
        <f t="shared" si="1"/>
        <v>106</v>
      </c>
      <c r="B115">
        <v>0</v>
      </c>
    </row>
    <row r="116" spans="1:2" x14ac:dyDescent="0.45">
      <c r="A116">
        <f t="shared" si="1"/>
        <v>107</v>
      </c>
      <c r="B116">
        <v>0</v>
      </c>
    </row>
    <row r="117" spans="1:2" x14ac:dyDescent="0.45">
      <c r="A117">
        <f t="shared" si="1"/>
        <v>108</v>
      </c>
      <c r="B117">
        <v>0</v>
      </c>
    </row>
    <row r="118" spans="1:2" x14ac:dyDescent="0.45">
      <c r="A118">
        <f t="shared" si="1"/>
        <v>109</v>
      </c>
      <c r="B118">
        <v>0</v>
      </c>
    </row>
    <row r="119" spans="1:2" x14ac:dyDescent="0.45">
      <c r="A119">
        <f t="shared" si="1"/>
        <v>110</v>
      </c>
      <c r="B119">
        <v>0</v>
      </c>
    </row>
    <row r="120" spans="1:2" x14ac:dyDescent="0.45">
      <c r="A120">
        <f t="shared" si="1"/>
        <v>111</v>
      </c>
      <c r="B120">
        <v>1</v>
      </c>
    </row>
    <row r="121" spans="1:2" x14ac:dyDescent="0.45">
      <c r="A121">
        <f t="shared" si="1"/>
        <v>112</v>
      </c>
      <c r="B121">
        <v>1</v>
      </c>
    </row>
    <row r="122" spans="1:2" x14ac:dyDescent="0.45">
      <c r="A122">
        <f t="shared" si="1"/>
        <v>113</v>
      </c>
      <c r="B122">
        <v>1</v>
      </c>
    </row>
    <row r="123" spans="1:2" x14ac:dyDescent="0.45">
      <c r="A123">
        <f t="shared" si="1"/>
        <v>114</v>
      </c>
      <c r="B123">
        <v>0</v>
      </c>
    </row>
    <row r="124" spans="1:2" x14ac:dyDescent="0.45">
      <c r="A124">
        <f t="shared" si="1"/>
        <v>115</v>
      </c>
      <c r="B124">
        <v>0</v>
      </c>
    </row>
    <row r="125" spans="1:2" x14ac:dyDescent="0.45">
      <c r="A125">
        <f t="shared" si="1"/>
        <v>116</v>
      </c>
      <c r="B125">
        <v>1</v>
      </c>
    </row>
    <row r="126" spans="1:2" x14ac:dyDescent="0.45">
      <c r="A126">
        <f t="shared" si="1"/>
        <v>117</v>
      </c>
      <c r="B126">
        <v>0</v>
      </c>
    </row>
    <row r="127" spans="1:2" x14ac:dyDescent="0.45">
      <c r="A127">
        <f t="shared" si="1"/>
        <v>118</v>
      </c>
      <c r="B127">
        <v>0</v>
      </c>
    </row>
    <row r="128" spans="1:2" x14ac:dyDescent="0.45">
      <c r="A128">
        <f t="shared" si="1"/>
        <v>119</v>
      </c>
      <c r="B128">
        <v>0</v>
      </c>
    </row>
    <row r="129" spans="1:2" x14ac:dyDescent="0.45">
      <c r="A129">
        <f t="shared" si="1"/>
        <v>120</v>
      </c>
      <c r="B129">
        <v>1</v>
      </c>
    </row>
    <row r="130" spans="1:2" x14ac:dyDescent="0.45">
      <c r="A130">
        <f t="shared" si="1"/>
        <v>121</v>
      </c>
      <c r="B130">
        <v>0</v>
      </c>
    </row>
    <row r="131" spans="1:2" x14ac:dyDescent="0.45">
      <c r="A131">
        <f t="shared" si="1"/>
        <v>122</v>
      </c>
      <c r="B131">
        <v>1</v>
      </c>
    </row>
    <row r="132" spans="1:2" x14ac:dyDescent="0.45">
      <c r="A132">
        <f t="shared" si="1"/>
        <v>123</v>
      </c>
      <c r="B132">
        <v>1</v>
      </c>
    </row>
    <row r="133" spans="1:2" x14ac:dyDescent="0.45">
      <c r="A133">
        <f t="shared" si="1"/>
        <v>124</v>
      </c>
      <c r="B133">
        <v>0</v>
      </c>
    </row>
    <row r="134" spans="1:2" x14ac:dyDescent="0.45">
      <c r="A134">
        <f t="shared" si="1"/>
        <v>125</v>
      </c>
      <c r="B134">
        <v>0</v>
      </c>
    </row>
    <row r="135" spans="1:2" x14ac:dyDescent="0.45">
      <c r="A135">
        <f t="shared" si="1"/>
        <v>126</v>
      </c>
      <c r="B135">
        <v>0</v>
      </c>
    </row>
    <row r="136" spans="1:2" x14ac:dyDescent="0.45">
      <c r="A136">
        <f t="shared" si="1"/>
        <v>127</v>
      </c>
      <c r="B136">
        <v>0</v>
      </c>
    </row>
    <row r="137" spans="1:2" x14ac:dyDescent="0.45">
      <c r="A137">
        <f t="shared" si="1"/>
        <v>128</v>
      </c>
      <c r="B137">
        <v>0</v>
      </c>
    </row>
    <row r="138" spans="1:2" x14ac:dyDescent="0.45">
      <c r="A138">
        <f t="shared" si="1"/>
        <v>129</v>
      </c>
      <c r="B138">
        <v>0</v>
      </c>
    </row>
    <row r="139" spans="1:2" x14ac:dyDescent="0.45">
      <c r="A139">
        <f t="shared" si="1"/>
        <v>130</v>
      </c>
      <c r="B139">
        <v>1</v>
      </c>
    </row>
    <row r="140" spans="1:2" x14ac:dyDescent="0.45">
      <c r="A140">
        <f t="shared" ref="A140:A185" si="2">A139+1</f>
        <v>131</v>
      </c>
      <c r="B140">
        <v>0</v>
      </c>
    </row>
    <row r="141" spans="1:2" x14ac:dyDescent="0.45">
      <c r="A141">
        <f t="shared" si="2"/>
        <v>132</v>
      </c>
      <c r="B141">
        <v>0</v>
      </c>
    </row>
    <row r="142" spans="1:2" x14ac:dyDescent="0.45">
      <c r="A142">
        <f t="shared" si="2"/>
        <v>133</v>
      </c>
      <c r="B142">
        <v>0</v>
      </c>
    </row>
    <row r="143" spans="1:2" x14ac:dyDescent="0.45">
      <c r="A143">
        <f t="shared" si="2"/>
        <v>134</v>
      </c>
      <c r="B143">
        <v>1</v>
      </c>
    </row>
    <row r="144" spans="1:2" x14ac:dyDescent="0.45">
      <c r="A144">
        <f t="shared" si="2"/>
        <v>135</v>
      </c>
      <c r="B144">
        <v>1</v>
      </c>
    </row>
    <row r="145" spans="1:2" x14ac:dyDescent="0.45">
      <c r="A145">
        <f t="shared" si="2"/>
        <v>136</v>
      </c>
      <c r="B145">
        <v>0</v>
      </c>
    </row>
    <row r="146" spans="1:2" x14ac:dyDescent="0.45">
      <c r="A146">
        <f t="shared" si="2"/>
        <v>137</v>
      </c>
      <c r="B146">
        <v>0</v>
      </c>
    </row>
    <row r="147" spans="1:2" x14ac:dyDescent="0.45">
      <c r="A147">
        <f t="shared" si="2"/>
        <v>138</v>
      </c>
      <c r="B147">
        <v>1</v>
      </c>
    </row>
    <row r="148" spans="1:2" x14ac:dyDescent="0.45">
      <c r="A148">
        <f t="shared" si="2"/>
        <v>139</v>
      </c>
      <c r="B148">
        <v>1</v>
      </c>
    </row>
    <row r="149" spans="1:2" x14ac:dyDescent="0.45">
      <c r="A149">
        <f t="shared" si="2"/>
        <v>140</v>
      </c>
      <c r="B149">
        <v>0</v>
      </c>
    </row>
    <row r="150" spans="1:2" x14ac:dyDescent="0.45">
      <c r="A150">
        <f t="shared" si="2"/>
        <v>141</v>
      </c>
      <c r="B150">
        <v>1</v>
      </c>
    </row>
    <row r="151" spans="1:2" x14ac:dyDescent="0.45">
      <c r="A151">
        <f t="shared" si="2"/>
        <v>142</v>
      </c>
      <c r="B151">
        <v>0</v>
      </c>
    </row>
    <row r="152" spans="1:2" x14ac:dyDescent="0.45">
      <c r="A152">
        <f t="shared" si="2"/>
        <v>143</v>
      </c>
      <c r="B152">
        <v>0</v>
      </c>
    </row>
    <row r="153" spans="1:2" x14ac:dyDescent="0.45">
      <c r="A153">
        <f t="shared" si="2"/>
        <v>144</v>
      </c>
      <c r="B153">
        <v>1</v>
      </c>
    </row>
    <row r="154" spans="1:2" x14ac:dyDescent="0.45">
      <c r="A154">
        <f t="shared" si="2"/>
        <v>145</v>
      </c>
      <c r="B154">
        <v>0</v>
      </c>
    </row>
    <row r="155" spans="1:2" x14ac:dyDescent="0.45">
      <c r="A155">
        <f t="shared" si="2"/>
        <v>146</v>
      </c>
      <c r="B155">
        <v>0</v>
      </c>
    </row>
    <row r="156" spans="1:2" x14ac:dyDescent="0.45">
      <c r="A156">
        <f t="shared" si="2"/>
        <v>147</v>
      </c>
      <c r="B156">
        <v>1</v>
      </c>
    </row>
    <row r="157" spans="1:2" x14ac:dyDescent="0.45">
      <c r="A157">
        <f t="shared" si="2"/>
        <v>148</v>
      </c>
      <c r="B157">
        <v>0</v>
      </c>
    </row>
    <row r="158" spans="1:2" x14ac:dyDescent="0.45">
      <c r="A158">
        <f t="shared" si="2"/>
        <v>149</v>
      </c>
      <c r="B158">
        <v>0</v>
      </c>
    </row>
    <row r="159" spans="1:2" x14ac:dyDescent="0.45">
      <c r="A159">
        <f t="shared" si="2"/>
        <v>150</v>
      </c>
      <c r="B159">
        <v>0</v>
      </c>
    </row>
    <row r="160" spans="1:2" x14ac:dyDescent="0.45">
      <c r="A160">
        <f t="shared" si="2"/>
        <v>151</v>
      </c>
      <c r="B160">
        <v>1</v>
      </c>
    </row>
    <row r="161" spans="1:2" x14ac:dyDescent="0.45">
      <c r="A161">
        <f t="shared" si="2"/>
        <v>152</v>
      </c>
      <c r="B161">
        <v>0</v>
      </c>
    </row>
    <row r="162" spans="1:2" x14ac:dyDescent="0.45">
      <c r="A162">
        <f t="shared" si="2"/>
        <v>153</v>
      </c>
      <c r="B162">
        <v>0</v>
      </c>
    </row>
    <row r="163" spans="1:2" x14ac:dyDescent="0.45">
      <c r="A163">
        <f t="shared" si="2"/>
        <v>154</v>
      </c>
      <c r="B163">
        <v>1</v>
      </c>
    </row>
    <row r="164" spans="1:2" x14ac:dyDescent="0.45">
      <c r="A164">
        <f t="shared" si="2"/>
        <v>155</v>
      </c>
      <c r="B164">
        <v>0</v>
      </c>
    </row>
    <row r="165" spans="1:2" x14ac:dyDescent="0.45">
      <c r="A165">
        <f t="shared" si="2"/>
        <v>156</v>
      </c>
      <c r="B165">
        <v>1</v>
      </c>
    </row>
    <row r="166" spans="1:2" x14ac:dyDescent="0.45">
      <c r="A166">
        <f t="shared" si="2"/>
        <v>157</v>
      </c>
      <c r="B166">
        <v>0</v>
      </c>
    </row>
    <row r="167" spans="1:2" x14ac:dyDescent="0.45">
      <c r="A167">
        <f t="shared" si="2"/>
        <v>158</v>
      </c>
      <c r="B167">
        <v>0</v>
      </c>
    </row>
    <row r="168" spans="1:2" x14ac:dyDescent="0.45">
      <c r="A168">
        <f t="shared" si="2"/>
        <v>159</v>
      </c>
      <c r="B168">
        <v>0</v>
      </c>
    </row>
    <row r="169" spans="1:2" x14ac:dyDescent="0.45">
      <c r="A169">
        <f t="shared" si="2"/>
        <v>160</v>
      </c>
      <c r="B169">
        <v>1</v>
      </c>
    </row>
    <row r="170" spans="1:2" x14ac:dyDescent="0.45">
      <c r="A170">
        <f t="shared" si="2"/>
        <v>161</v>
      </c>
      <c r="B170">
        <v>0</v>
      </c>
    </row>
    <row r="171" spans="1:2" x14ac:dyDescent="0.45">
      <c r="A171">
        <f t="shared" si="2"/>
        <v>162</v>
      </c>
      <c r="B171">
        <v>0</v>
      </c>
    </row>
    <row r="172" spans="1:2" x14ac:dyDescent="0.45">
      <c r="A172">
        <f t="shared" si="2"/>
        <v>163</v>
      </c>
      <c r="B172">
        <v>0</v>
      </c>
    </row>
    <row r="173" spans="1:2" x14ac:dyDescent="0.45">
      <c r="A173">
        <f t="shared" si="2"/>
        <v>164</v>
      </c>
      <c r="B173">
        <v>1</v>
      </c>
    </row>
    <row r="174" spans="1:2" x14ac:dyDescent="0.45">
      <c r="A174">
        <f t="shared" si="2"/>
        <v>165</v>
      </c>
      <c r="B174">
        <v>0</v>
      </c>
    </row>
    <row r="175" spans="1:2" x14ac:dyDescent="0.45">
      <c r="A175">
        <f t="shared" si="2"/>
        <v>166</v>
      </c>
      <c r="B175">
        <v>1</v>
      </c>
    </row>
    <row r="176" spans="1:2" x14ac:dyDescent="0.45">
      <c r="A176">
        <f t="shared" si="2"/>
        <v>167</v>
      </c>
      <c r="B176">
        <v>0</v>
      </c>
    </row>
    <row r="177" spans="1:2" x14ac:dyDescent="0.45">
      <c r="A177">
        <f t="shared" si="2"/>
        <v>168</v>
      </c>
      <c r="B177">
        <v>0</v>
      </c>
    </row>
    <row r="178" spans="1:2" x14ac:dyDescent="0.45">
      <c r="A178">
        <f t="shared" si="2"/>
        <v>169</v>
      </c>
      <c r="B178">
        <v>0</v>
      </c>
    </row>
    <row r="179" spans="1:2" x14ac:dyDescent="0.45">
      <c r="A179">
        <f t="shared" si="2"/>
        <v>170</v>
      </c>
      <c r="B179">
        <v>0</v>
      </c>
    </row>
    <row r="180" spans="1:2" x14ac:dyDescent="0.45">
      <c r="A180">
        <f t="shared" si="2"/>
        <v>171</v>
      </c>
      <c r="B180">
        <v>0</v>
      </c>
    </row>
    <row r="181" spans="1:2" x14ac:dyDescent="0.45">
      <c r="A181">
        <f t="shared" si="2"/>
        <v>172</v>
      </c>
      <c r="B181">
        <v>0</v>
      </c>
    </row>
    <row r="182" spans="1:2" x14ac:dyDescent="0.45">
      <c r="A182">
        <f t="shared" si="2"/>
        <v>173</v>
      </c>
      <c r="B182">
        <v>0</v>
      </c>
    </row>
    <row r="183" spans="1:2" x14ac:dyDescent="0.45">
      <c r="A183">
        <f t="shared" si="2"/>
        <v>174</v>
      </c>
      <c r="B183">
        <v>1</v>
      </c>
    </row>
    <row r="184" spans="1:2" x14ac:dyDescent="0.45">
      <c r="A184">
        <f t="shared" si="2"/>
        <v>175</v>
      </c>
      <c r="B184">
        <v>1</v>
      </c>
    </row>
    <row r="185" spans="1:2" x14ac:dyDescent="0.45">
      <c r="A185">
        <f t="shared" si="2"/>
        <v>176</v>
      </c>
      <c r="B185">
        <v>0</v>
      </c>
    </row>
    <row r="186" spans="1:2" x14ac:dyDescent="0.45">
      <c r="A186">
        <f>A185+1</f>
        <v>177</v>
      </c>
      <c r="B186">
        <v>0</v>
      </c>
    </row>
    <row r="187" spans="1:2" x14ac:dyDescent="0.45">
      <c r="A187">
        <f t="shared" ref="A187:A194" si="3">A186+1</f>
        <v>178</v>
      </c>
      <c r="B187">
        <v>0</v>
      </c>
    </row>
    <row r="188" spans="1:2" x14ac:dyDescent="0.45">
      <c r="A188">
        <f t="shared" si="3"/>
        <v>179</v>
      </c>
      <c r="B188">
        <v>0</v>
      </c>
    </row>
    <row r="189" spans="1:2" x14ac:dyDescent="0.45">
      <c r="A189">
        <f t="shared" si="3"/>
        <v>180</v>
      </c>
      <c r="B189">
        <v>1</v>
      </c>
    </row>
    <row r="190" spans="1:2" x14ac:dyDescent="0.45">
      <c r="A190">
        <f t="shared" si="3"/>
        <v>181</v>
      </c>
      <c r="B190">
        <v>0</v>
      </c>
    </row>
    <row r="191" spans="1:2" x14ac:dyDescent="0.45">
      <c r="A191">
        <f t="shared" si="3"/>
        <v>182</v>
      </c>
      <c r="B191">
        <v>1</v>
      </c>
    </row>
    <row r="192" spans="1:2" x14ac:dyDescent="0.45">
      <c r="A192">
        <f t="shared" si="3"/>
        <v>183</v>
      </c>
      <c r="B192">
        <v>1</v>
      </c>
    </row>
    <row r="193" spans="1:2" x14ac:dyDescent="0.45">
      <c r="A193">
        <f t="shared" si="3"/>
        <v>184</v>
      </c>
      <c r="B193">
        <v>1</v>
      </c>
    </row>
    <row r="194" spans="1:2" x14ac:dyDescent="0.45">
      <c r="A194">
        <f t="shared" si="3"/>
        <v>185</v>
      </c>
      <c r="B194">
        <v>1</v>
      </c>
    </row>
  </sheetData>
  <sortState ref="F19:F20">
    <sortCondition ref="F1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1633-1803-4E2E-9FCB-4B44F86A6B82}">
  <dimension ref="A1:M166"/>
  <sheetViews>
    <sheetView topLeftCell="A23" workbookViewId="0">
      <selection activeCell="E162" sqref="E162"/>
    </sheetView>
  </sheetViews>
  <sheetFormatPr defaultRowHeight="14.25" x14ac:dyDescent="0.45"/>
  <cols>
    <col min="6" max="6" width="9.19921875" bestFit="1" customWidth="1"/>
  </cols>
  <sheetData>
    <row r="1" spans="1:6" x14ac:dyDescent="0.45">
      <c r="A1" s="2" t="s">
        <v>22</v>
      </c>
      <c r="B1" s="2"/>
      <c r="C1" s="2"/>
      <c r="D1" s="2"/>
    </row>
    <row r="3" spans="1:6" x14ac:dyDescent="0.45">
      <c r="A3" s="2">
        <v>1</v>
      </c>
      <c r="B3" t="s">
        <v>0</v>
      </c>
    </row>
    <row r="4" spans="1:6" x14ac:dyDescent="0.45">
      <c r="B4" t="s">
        <v>23</v>
      </c>
      <c r="E4" t="s">
        <v>24</v>
      </c>
      <c r="F4">
        <v>0.33081453901791436</v>
      </c>
    </row>
    <row r="5" spans="1:6" x14ac:dyDescent="0.45">
      <c r="B5" t="s">
        <v>25</v>
      </c>
      <c r="E5" t="s">
        <v>27</v>
      </c>
      <c r="F5" s="1">
        <v>6.3636280404065069</v>
      </c>
    </row>
    <row r="6" spans="1:6" x14ac:dyDescent="0.45">
      <c r="B6" t="s">
        <v>26</v>
      </c>
      <c r="E6" t="s">
        <v>28</v>
      </c>
      <c r="F6" s="1">
        <v>157.09097567674795</v>
      </c>
    </row>
    <row r="8" spans="1:6" x14ac:dyDescent="0.45">
      <c r="A8" s="2">
        <v>2</v>
      </c>
      <c r="B8" t="s">
        <v>3</v>
      </c>
    </row>
    <row r="9" spans="1:6" x14ac:dyDescent="0.45">
      <c r="B9" t="s">
        <v>4</v>
      </c>
      <c r="C9" t="s">
        <v>5</v>
      </c>
    </row>
    <row r="10" spans="1:6" x14ac:dyDescent="0.45">
      <c r="B10">
        <v>1</v>
      </c>
      <c r="C10">
        <v>2</v>
      </c>
    </row>
    <row r="11" spans="1:6" x14ac:dyDescent="0.45">
      <c r="B11">
        <f>B10+1</f>
        <v>2</v>
      </c>
      <c r="C11">
        <v>2</v>
      </c>
    </row>
    <row r="12" spans="1:6" x14ac:dyDescent="0.45">
      <c r="B12">
        <f t="shared" ref="B12:B75" si="0">B11+1</f>
        <v>3</v>
      </c>
      <c r="C12">
        <v>1</v>
      </c>
    </row>
    <row r="13" spans="1:6" x14ac:dyDescent="0.45">
      <c r="B13">
        <f t="shared" si="0"/>
        <v>4</v>
      </c>
      <c r="C13">
        <v>2</v>
      </c>
    </row>
    <row r="14" spans="1:6" x14ac:dyDescent="0.45">
      <c r="B14">
        <f t="shared" si="0"/>
        <v>5</v>
      </c>
      <c r="C14">
        <v>0</v>
      </c>
    </row>
    <row r="15" spans="1:6" x14ac:dyDescent="0.45">
      <c r="B15">
        <f t="shared" si="0"/>
        <v>6</v>
      </c>
      <c r="C15">
        <v>2</v>
      </c>
    </row>
    <row r="16" spans="1:6" x14ac:dyDescent="0.45">
      <c r="B16">
        <f t="shared" si="0"/>
        <v>7</v>
      </c>
      <c r="C16">
        <v>1</v>
      </c>
    </row>
    <row r="17" spans="2:13" x14ac:dyDescent="0.45">
      <c r="B17">
        <f t="shared" si="0"/>
        <v>8</v>
      </c>
      <c r="C17">
        <v>2</v>
      </c>
    </row>
    <row r="18" spans="2:13" x14ac:dyDescent="0.45">
      <c r="B18">
        <f t="shared" si="0"/>
        <v>9</v>
      </c>
      <c r="C18">
        <v>1</v>
      </c>
    </row>
    <row r="19" spans="2:13" x14ac:dyDescent="0.45">
      <c r="B19">
        <f t="shared" si="0"/>
        <v>10</v>
      </c>
      <c r="C19">
        <v>1</v>
      </c>
    </row>
    <row r="20" spans="2:13" x14ac:dyDescent="0.45">
      <c r="B20">
        <f t="shared" si="0"/>
        <v>11</v>
      </c>
      <c r="C20">
        <v>2</v>
      </c>
    </row>
    <row r="21" spans="2:13" x14ac:dyDescent="0.45">
      <c r="B21">
        <f t="shared" si="0"/>
        <v>12</v>
      </c>
      <c r="C21">
        <v>1</v>
      </c>
    </row>
    <row r="22" spans="2:13" x14ac:dyDescent="0.45">
      <c r="B22">
        <f t="shared" si="0"/>
        <v>13</v>
      </c>
      <c r="C22">
        <v>2</v>
      </c>
    </row>
    <row r="23" spans="2:13" ht="14.65" thickBot="1" x14ac:dyDescent="0.5">
      <c r="B23">
        <f t="shared" si="0"/>
        <v>14</v>
      </c>
      <c r="C23">
        <v>1</v>
      </c>
      <c r="E23" s="2">
        <v>3</v>
      </c>
      <c r="F23" t="s">
        <v>7</v>
      </c>
    </row>
    <row r="24" spans="2:13" x14ac:dyDescent="0.45">
      <c r="B24">
        <f t="shared" si="0"/>
        <v>15</v>
      </c>
      <c r="C24">
        <v>0</v>
      </c>
      <c r="F24" t="s">
        <v>8</v>
      </c>
      <c r="H24" s="6" t="s">
        <v>9</v>
      </c>
      <c r="I24" s="6" t="s">
        <v>11</v>
      </c>
      <c r="K24" t="s">
        <v>30</v>
      </c>
      <c r="L24" t="s">
        <v>14</v>
      </c>
      <c r="M24" t="s">
        <v>31</v>
      </c>
    </row>
    <row r="25" spans="2:13" x14ac:dyDescent="0.45">
      <c r="B25">
        <f t="shared" si="0"/>
        <v>16</v>
      </c>
      <c r="C25">
        <v>1</v>
      </c>
      <c r="F25">
        <v>0</v>
      </c>
      <c r="H25" s="3">
        <v>0</v>
      </c>
      <c r="I25" s="4">
        <v>17</v>
      </c>
      <c r="K25">
        <f>I25/$I$33</f>
        <v>0.10828025477707007</v>
      </c>
      <c r="L25">
        <f>_xlfn.BINOM.DIST(F25, $F$5, $F$4, FALSE)</f>
        <v>8.9800546635092529E-2</v>
      </c>
      <c r="M25">
        <f>K25</f>
        <v>0.10828025477707007</v>
      </c>
    </row>
    <row r="26" spans="2:13" x14ac:dyDescent="0.45">
      <c r="B26">
        <f t="shared" si="0"/>
        <v>17</v>
      </c>
      <c r="C26">
        <v>3</v>
      </c>
      <c r="F26">
        <f>F25+1</f>
        <v>1</v>
      </c>
      <c r="H26" s="3">
        <v>1</v>
      </c>
      <c r="I26" s="4">
        <v>43</v>
      </c>
      <c r="K26">
        <f t="shared" ref="K26:K31" si="1">I26/$I$33</f>
        <v>0.27388535031847133</v>
      </c>
      <c r="L26">
        <f t="shared" ref="L26:L31" si="2">_xlfn.BINOM.DIST(F26, $F$5, $F$4, FALSE)</f>
        <v>0.26635958045215335</v>
      </c>
      <c r="M26">
        <f>M25+K26</f>
        <v>0.38216560509554143</v>
      </c>
    </row>
    <row r="27" spans="2:13" x14ac:dyDescent="0.45">
      <c r="B27">
        <f t="shared" si="0"/>
        <v>18</v>
      </c>
      <c r="C27">
        <v>2</v>
      </c>
      <c r="F27">
        <f>F26+1</f>
        <v>2</v>
      </c>
      <c r="H27" s="3">
        <v>2</v>
      </c>
      <c r="I27" s="4">
        <v>65</v>
      </c>
      <c r="K27">
        <f t="shared" si="1"/>
        <v>0.4140127388535032</v>
      </c>
      <c r="L27">
        <f t="shared" si="2"/>
        <v>0.32918983958111969</v>
      </c>
      <c r="M27">
        <f t="shared" ref="M27:M31" si="3">M26+K27</f>
        <v>0.79617834394904463</v>
      </c>
    </row>
    <row r="28" spans="2:13" x14ac:dyDescent="0.45">
      <c r="B28">
        <f t="shared" si="0"/>
        <v>19</v>
      </c>
      <c r="C28">
        <v>1</v>
      </c>
      <c r="F28">
        <f>F27+1</f>
        <v>3</v>
      </c>
      <c r="H28" s="3">
        <v>3</v>
      </c>
      <c r="I28" s="4">
        <v>22</v>
      </c>
      <c r="K28">
        <f t="shared" si="1"/>
        <v>0.14012738853503184</v>
      </c>
      <c r="L28">
        <f t="shared" si="2"/>
        <v>0.21698177138235736</v>
      </c>
      <c r="M28">
        <f t="shared" si="3"/>
        <v>0.93630573248407645</v>
      </c>
    </row>
    <row r="29" spans="2:13" x14ac:dyDescent="0.45">
      <c r="B29">
        <f t="shared" si="0"/>
        <v>20</v>
      </c>
      <c r="C29">
        <v>4</v>
      </c>
      <c r="F29">
        <f>F28+1</f>
        <v>4</v>
      </c>
      <c r="H29" s="3">
        <v>4</v>
      </c>
      <c r="I29" s="4">
        <v>9</v>
      </c>
      <c r="K29">
        <f t="shared" si="1"/>
        <v>5.7324840764331211E-2</v>
      </c>
      <c r="L29">
        <f t="shared" si="2"/>
        <v>8.044936216538634E-2</v>
      </c>
      <c r="M29">
        <f t="shared" si="3"/>
        <v>0.99363057324840764</v>
      </c>
    </row>
    <row r="30" spans="2:13" x14ac:dyDescent="0.45">
      <c r="B30">
        <f t="shared" si="0"/>
        <v>21</v>
      </c>
      <c r="C30">
        <v>2</v>
      </c>
      <c r="F30">
        <f t="shared" ref="F30:F31" si="4">F29+1</f>
        <v>5</v>
      </c>
      <c r="H30" s="3">
        <v>5</v>
      </c>
      <c r="I30" s="4">
        <v>0</v>
      </c>
      <c r="K30">
        <f t="shared" si="1"/>
        <v>0</v>
      </c>
      <c r="L30">
        <f t="shared" si="2"/>
        <v>1.5908187018868883E-2</v>
      </c>
      <c r="M30">
        <f t="shared" si="3"/>
        <v>0.99363057324840764</v>
      </c>
    </row>
    <row r="31" spans="2:13" x14ac:dyDescent="0.45">
      <c r="B31">
        <f t="shared" si="0"/>
        <v>22</v>
      </c>
      <c r="C31">
        <v>1</v>
      </c>
      <c r="F31">
        <f t="shared" si="4"/>
        <v>6</v>
      </c>
      <c r="H31" s="3">
        <v>6</v>
      </c>
      <c r="I31" s="4">
        <v>1</v>
      </c>
      <c r="K31">
        <f t="shared" si="1"/>
        <v>6.369426751592357E-3</v>
      </c>
      <c r="L31">
        <f t="shared" si="2"/>
        <v>1.3107127650219437E-3</v>
      </c>
      <c r="M31">
        <f t="shared" si="3"/>
        <v>1</v>
      </c>
    </row>
    <row r="32" spans="2:13" ht="14.65" thickBot="1" x14ac:dyDescent="0.5">
      <c r="B32">
        <f t="shared" si="0"/>
        <v>23</v>
      </c>
      <c r="C32">
        <v>2</v>
      </c>
      <c r="H32" s="5" t="s">
        <v>10</v>
      </c>
      <c r="I32" s="5">
        <v>0</v>
      </c>
    </row>
    <row r="33" spans="2:12" x14ac:dyDescent="0.45">
      <c r="B33">
        <f t="shared" si="0"/>
        <v>24</v>
      </c>
      <c r="C33">
        <v>2</v>
      </c>
      <c r="I33">
        <f>SUM(I25:I31)</f>
        <v>157</v>
      </c>
      <c r="K33">
        <f>SUM(K25:K31)</f>
        <v>1</v>
      </c>
      <c r="L33">
        <f>SUM(L25:L31)</f>
        <v>1.0000000000000002</v>
      </c>
    </row>
    <row r="34" spans="2:12" x14ac:dyDescent="0.45">
      <c r="B34">
        <f t="shared" si="0"/>
        <v>25</v>
      </c>
      <c r="C34">
        <v>2</v>
      </c>
    </row>
    <row r="35" spans="2:12" x14ac:dyDescent="0.45">
      <c r="B35">
        <f t="shared" si="0"/>
        <v>26</v>
      </c>
      <c r="C35">
        <v>2</v>
      </c>
    </row>
    <row r="36" spans="2:12" x14ac:dyDescent="0.45">
      <c r="B36">
        <f t="shared" si="0"/>
        <v>27</v>
      </c>
      <c r="C36">
        <v>2</v>
      </c>
      <c r="E36" s="2">
        <v>4</v>
      </c>
      <c r="F36" t="s">
        <v>16</v>
      </c>
    </row>
    <row r="37" spans="2:12" x14ac:dyDescent="0.45">
      <c r="B37">
        <f t="shared" si="0"/>
        <v>28</v>
      </c>
      <c r="C37">
        <v>2</v>
      </c>
      <c r="E37" t="s">
        <v>17</v>
      </c>
      <c r="I37">
        <f>AVERAGE(C10:C166)</f>
        <v>1.7898089171974523</v>
      </c>
    </row>
    <row r="38" spans="2:12" x14ac:dyDescent="0.45">
      <c r="B38">
        <f t="shared" si="0"/>
        <v>29</v>
      </c>
      <c r="C38">
        <v>3</v>
      </c>
      <c r="E38" t="s">
        <v>18</v>
      </c>
      <c r="I38">
        <f>_xlfn.STDEV.S(C10:C166)</f>
        <v>1.0683791169862322</v>
      </c>
    </row>
    <row r="39" spans="2:12" x14ac:dyDescent="0.45">
      <c r="B39">
        <f t="shared" si="0"/>
        <v>30</v>
      </c>
      <c r="C39">
        <v>2</v>
      </c>
      <c r="E39" t="s">
        <v>19</v>
      </c>
      <c r="I39">
        <f>_xlfn.VAR.S(C10:C166)</f>
        <v>1.1414339376122815</v>
      </c>
    </row>
    <row r="40" spans="2:12" x14ac:dyDescent="0.45">
      <c r="B40">
        <f t="shared" si="0"/>
        <v>31</v>
      </c>
      <c r="C40">
        <v>1</v>
      </c>
      <c r="E40" t="s">
        <v>20</v>
      </c>
      <c r="I40">
        <f>SKEW(C10:C166)</f>
        <v>0.49378169531960198</v>
      </c>
    </row>
    <row r="41" spans="2:12" x14ac:dyDescent="0.45">
      <c r="B41">
        <f t="shared" si="0"/>
        <v>32</v>
      </c>
      <c r="C41">
        <v>2</v>
      </c>
      <c r="E41" t="s">
        <v>21</v>
      </c>
      <c r="I41">
        <f>KURT(C10:C166)</f>
        <v>0.8655013056351506</v>
      </c>
    </row>
    <row r="42" spans="2:12" x14ac:dyDescent="0.45">
      <c r="B42">
        <f t="shared" si="0"/>
        <v>33</v>
      </c>
      <c r="C42">
        <v>1</v>
      </c>
    </row>
    <row r="43" spans="2:12" x14ac:dyDescent="0.45">
      <c r="B43">
        <f t="shared" si="0"/>
        <v>34</v>
      </c>
      <c r="C43">
        <v>0</v>
      </c>
    </row>
    <row r="44" spans="2:12" x14ac:dyDescent="0.45">
      <c r="B44">
        <f t="shared" si="0"/>
        <v>35</v>
      </c>
      <c r="C44">
        <v>4</v>
      </c>
    </row>
    <row r="45" spans="2:12" x14ac:dyDescent="0.45">
      <c r="B45">
        <f t="shared" si="0"/>
        <v>36</v>
      </c>
      <c r="C45">
        <v>1</v>
      </c>
    </row>
    <row r="46" spans="2:12" x14ac:dyDescent="0.45">
      <c r="B46">
        <f t="shared" si="0"/>
        <v>37</v>
      </c>
      <c r="C46">
        <v>3</v>
      </c>
    </row>
    <row r="47" spans="2:12" x14ac:dyDescent="0.45">
      <c r="B47">
        <f t="shared" si="0"/>
        <v>38</v>
      </c>
      <c r="C47">
        <v>3</v>
      </c>
    </row>
    <row r="48" spans="2:12" x14ac:dyDescent="0.45">
      <c r="B48">
        <f t="shared" si="0"/>
        <v>39</v>
      </c>
      <c r="C48">
        <v>4</v>
      </c>
    </row>
    <row r="49" spans="2:3" x14ac:dyDescent="0.45">
      <c r="B49">
        <f t="shared" si="0"/>
        <v>40</v>
      </c>
      <c r="C49">
        <v>2</v>
      </c>
    </row>
    <row r="50" spans="2:3" x14ac:dyDescent="0.45">
      <c r="B50">
        <f t="shared" si="0"/>
        <v>41</v>
      </c>
      <c r="C50">
        <v>4</v>
      </c>
    </row>
    <row r="51" spans="2:3" x14ac:dyDescent="0.45">
      <c r="B51">
        <f t="shared" si="0"/>
        <v>42</v>
      </c>
      <c r="C51">
        <v>2</v>
      </c>
    </row>
    <row r="52" spans="2:3" x14ac:dyDescent="0.45">
      <c r="B52">
        <f t="shared" si="0"/>
        <v>43</v>
      </c>
      <c r="C52">
        <v>2</v>
      </c>
    </row>
    <row r="53" spans="2:3" x14ac:dyDescent="0.45">
      <c r="B53">
        <f t="shared" si="0"/>
        <v>44</v>
      </c>
      <c r="C53">
        <v>1</v>
      </c>
    </row>
    <row r="54" spans="2:3" x14ac:dyDescent="0.45">
      <c r="B54">
        <f t="shared" si="0"/>
        <v>45</v>
      </c>
      <c r="C54">
        <v>2</v>
      </c>
    </row>
    <row r="55" spans="2:3" x14ac:dyDescent="0.45">
      <c r="B55">
        <f t="shared" si="0"/>
        <v>46</v>
      </c>
      <c r="C55">
        <v>2</v>
      </c>
    </row>
    <row r="56" spans="2:3" x14ac:dyDescent="0.45">
      <c r="B56">
        <f t="shared" si="0"/>
        <v>47</v>
      </c>
      <c r="C56">
        <v>2</v>
      </c>
    </row>
    <row r="57" spans="2:3" x14ac:dyDescent="0.45">
      <c r="B57">
        <f t="shared" si="0"/>
        <v>48</v>
      </c>
      <c r="C57">
        <v>2</v>
      </c>
    </row>
    <row r="58" spans="2:3" x14ac:dyDescent="0.45">
      <c r="B58">
        <f t="shared" si="0"/>
        <v>49</v>
      </c>
      <c r="C58">
        <v>2</v>
      </c>
    </row>
    <row r="59" spans="2:3" x14ac:dyDescent="0.45">
      <c r="B59">
        <f t="shared" si="0"/>
        <v>50</v>
      </c>
      <c r="C59">
        <v>0</v>
      </c>
    </row>
    <row r="60" spans="2:3" x14ac:dyDescent="0.45">
      <c r="B60">
        <f t="shared" si="0"/>
        <v>51</v>
      </c>
      <c r="C60">
        <v>3</v>
      </c>
    </row>
    <row r="61" spans="2:3" x14ac:dyDescent="0.45">
      <c r="B61">
        <f t="shared" si="0"/>
        <v>52</v>
      </c>
      <c r="C61">
        <v>2</v>
      </c>
    </row>
    <row r="62" spans="2:3" x14ac:dyDescent="0.45">
      <c r="B62">
        <f t="shared" si="0"/>
        <v>53</v>
      </c>
      <c r="C62">
        <v>1</v>
      </c>
    </row>
    <row r="63" spans="2:3" x14ac:dyDescent="0.45">
      <c r="B63">
        <f t="shared" si="0"/>
        <v>54</v>
      </c>
      <c r="C63">
        <v>3</v>
      </c>
    </row>
    <row r="64" spans="2:3" x14ac:dyDescent="0.45">
      <c r="B64">
        <f t="shared" si="0"/>
        <v>55</v>
      </c>
      <c r="C64">
        <v>2</v>
      </c>
    </row>
    <row r="65" spans="2:3" x14ac:dyDescent="0.45">
      <c r="B65">
        <f t="shared" si="0"/>
        <v>56</v>
      </c>
      <c r="C65">
        <v>2</v>
      </c>
    </row>
    <row r="66" spans="2:3" x14ac:dyDescent="0.45">
      <c r="B66">
        <f t="shared" si="0"/>
        <v>57</v>
      </c>
      <c r="C66">
        <v>3</v>
      </c>
    </row>
    <row r="67" spans="2:3" x14ac:dyDescent="0.45">
      <c r="B67">
        <f t="shared" si="0"/>
        <v>58</v>
      </c>
      <c r="C67">
        <v>3</v>
      </c>
    </row>
    <row r="68" spans="2:3" x14ac:dyDescent="0.45">
      <c r="B68">
        <f t="shared" si="0"/>
        <v>59</v>
      </c>
      <c r="C68">
        <v>2</v>
      </c>
    </row>
    <row r="69" spans="2:3" x14ac:dyDescent="0.45">
      <c r="B69">
        <f t="shared" si="0"/>
        <v>60</v>
      </c>
      <c r="C69">
        <v>2</v>
      </c>
    </row>
    <row r="70" spans="2:3" x14ac:dyDescent="0.45">
      <c r="B70">
        <f t="shared" si="0"/>
        <v>61</v>
      </c>
      <c r="C70">
        <v>0</v>
      </c>
    </row>
    <row r="71" spans="2:3" x14ac:dyDescent="0.45">
      <c r="B71">
        <f t="shared" si="0"/>
        <v>62</v>
      </c>
      <c r="C71">
        <v>2</v>
      </c>
    </row>
    <row r="72" spans="2:3" x14ac:dyDescent="0.45">
      <c r="B72">
        <f t="shared" si="0"/>
        <v>63</v>
      </c>
      <c r="C72">
        <v>0</v>
      </c>
    </row>
    <row r="73" spans="2:3" x14ac:dyDescent="0.45">
      <c r="B73">
        <f t="shared" si="0"/>
        <v>64</v>
      </c>
      <c r="C73">
        <v>3</v>
      </c>
    </row>
    <row r="74" spans="2:3" x14ac:dyDescent="0.45">
      <c r="B74">
        <f t="shared" si="0"/>
        <v>65</v>
      </c>
      <c r="C74">
        <v>2</v>
      </c>
    </row>
    <row r="75" spans="2:3" x14ac:dyDescent="0.45">
      <c r="B75">
        <f t="shared" si="0"/>
        <v>66</v>
      </c>
      <c r="C75">
        <v>1</v>
      </c>
    </row>
    <row r="76" spans="2:3" x14ac:dyDescent="0.45">
      <c r="B76">
        <f t="shared" ref="B76:B139" si="5">B75+1</f>
        <v>67</v>
      </c>
      <c r="C76">
        <v>1</v>
      </c>
    </row>
    <row r="77" spans="2:3" x14ac:dyDescent="0.45">
      <c r="B77">
        <f t="shared" si="5"/>
        <v>68</v>
      </c>
      <c r="C77">
        <v>1</v>
      </c>
    </row>
    <row r="78" spans="2:3" x14ac:dyDescent="0.45">
      <c r="B78">
        <f t="shared" si="5"/>
        <v>69</v>
      </c>
      <c r="C78">
        <v>1</v>
      </c>
    </row>
    <row r="79" spans="2:3" x14ac:dyDescent="0.45">
      <c r="B79">
        <f t="shared" si="5"/>
        <v>70</v>
      </c>
      <c r="C79">
        <v>1</v>
      </c>
    </row>
    <row r="80" spans="2:3" x14ac:dyDescent="0.45">
      <c r="B80">
        <f t="shared" si="5"/>
        <v>71</v>
      </c>
      <c r="C80">
        <v>6</v>
      </c>
    </row>
    <row r="81" spans="2:3" x14ac:dyDescent="0.45">
      <c r="B81">
        <f t="shared" si="5"/>
        <v>72</v>
      </c>
      <c r="C81">
        <v>2</v>
      </c>
    </row>
    <row r="82" spans="2:3" x14ac:dyDescent="0.45">
      <c r="B82">
        <f t="shared" si="5"/>
        <v>73</v>
      </c>
      <c r="C82">
        <v>2</v>
      </c>
    </row>
    <row r="83" spans="2:3" x14ac:dyDescent="0.45">
      <c r="B83">
        <f t="shared" si="5"/>
        <v>74</v>
      </c>
      <c r="C83">
        <v>1</v>
      </c>
    </row>
    <row r="84" spans="2:3" x14ac:dyDescent="0.45">
      <c r="B84">
        <f t="shared" si="5"/>
        <v>75</v>
      </c>
      <c r="C84">
        <v>2</v>
      </c>
    </row>
    <row r="85" spans="2:3" x14ac:dyDescent="0.45">
      <c r="B85">
        <f t="shared" si="5"/>
        <v>76</v>
      </c>
      <c r="C85">
        <v>1</v>
      </c>
    </row>
    <row r="86" spans="2:3" x14ac:dyDescent="0.45">
      <c r="B86">
        <f t="shared" si="5"/>
        <v>77</v>
      </c>
      <c r="C86">
        <v>0</v>
      </c>
    </row>
    <row r="87" spans="2:3" x14ac:dyDescent="0.45">
      <c r="B87">
        <f t="shared" si="5"/>
        <v>78</v>
      </c>
      <c r="C87">
        <v>2</v>
      </c>
    </row>
    <row r="88" spans="2:3" x14ac:dyDescent="0.45">
      <c r="B88">
        <f t="shared" si="5"/>
        <v>79</v>
      </c>
      <c r="C88">
        <v>3</v>
      </c>
    </row>
    <row r="89" spans="2:3" x14ac:dyDescent="0.45">
      <c r="B89">
        <f t="shared" si="5"/>
        <v>80</v>
      </c>
      <c r="C89">
        <v>2</v>
      </c>
    </row>
    <row r="90" spans="2:3" x14ac:dyDescent="0.45">
      <c r="B90">
        <f t="shared" si="5"/>
        <v>81</v>
      </c>
      <c r="C90">
        <v>3</v>
      </c>
    </row>
    <row r="91" spans="2:3" x14ac:dyDescent="0.45">
      <c r="B91">
        <f t="shared" si="5"/>
        <v>82</v>
      </c>
      <c r="C91">
        <v>1</v>
      </c>
    </row>
    <row r="92" spans="2:3" x14ac:dyDescent="0.45">
      <c r="B92">
        <f t="shared" si="5"/>
        <v>83</v>
      </c>
      <c r="C92">
        <v>0</v>
      </c>
    </row>
    <row r="93" spans="2:3" x14ac:dyDescent="0.45">
      <c r="B93">
        <f t="shared" si="5"/>
        <v>84</v>
      </c>
      <c r="C93">
        <v>4</v>
      </c>
    </row>
    <row r="94" spans="2:3" x14ac:dyDescent="0.45">
      <c r="B94">
        <f t="shared" si="5"/>
        <v>85</v>
      </c>
      <c r="C94">
        <v>1</v>
      </c>
    </row>
    <row r="95" spans="2:3" x14ac:dyDescent="0.45">
      <c r="B95">
        <f t="shared" si="5"/>
        <v>86</v>
      </c>
      <c r="C95">
        <v>2</v>
      </c>
    </row>
    <row r="96" spans="2:3" x14ac:dyDescent="0.45">
      <c r="B96">
        <f t="shared" si="5"/>
        <v>87</v>
      </c>
      <c r="C96">
        <v>2</v>
      </c>
    </row>
    <row r="97" spans="2:3" x14ac:dyDescent="0.45">
      <c r="B97">
        <f t="shared" si="5"/>
        <v>88</v>
      </c>
      <c r="C97">
        <v>3</v>
      </c>
    </row>
    <row r="98" spans="2:3" x14ac:dyDescent="0.45">
      <c r="B98">
        <f t="shared" si="5"/>
        <v>89</v>
      </c>
      <c r="C98">
        <v>1</v>
      </c>
    </row>
    <row r="99" spans="2:3" x14ac:dyDescent="0.45">
      <c r="B99">
        <f t="shared" si="5"/>
        <v>90</v>
      </c>
      <c r="C99">
        <v>2</v>
      </c>
    </row>
    <row r="100" spans="2:3" x14ac:dyDescent="0.45">
      <c r="B100">
        <f t="shared" si="5"/>
        <v>91</v>
      </c>
      <c r="C100">
        <v>2</v>
      </c>
    </row>
    <row r="101" spans="2:3" x14ac:dyDescent="0.45">
      <c r="B101">
        <f t="shared" si="5"/>
        <v>92</v>
      </c>
      <c r="C101">
        <v>2</v>
      </c>
    </row>
    <row r="102" spans="2:3" x14ac:dyDescent="0.45">
      <c r="B102">
        <f t="shared" si="5"/>
        <v>93</v>
      </c>
      <c r="C102">
        <v>1</v>
      </c>
    </row>
    <row r="103" spans="2:3" x14ac:dyDescent="0.45">
      <c r="B103">
        <f t="shared" si="5"/>
        <v>94</v>
      </c>
      <c r="C103">
        <v>1</v>
      </c>
    </row>
    <row r="104" spans="2:3" x14ac:dyDescent="0.45">
      <c r="B104">
        <f t="shared" si="5"/>
        <v>95</v>
      </c>
      <c r="C104">
        <v>2</v>
      </c>
    </row>
    <row r="105" spans="2:3" x14ac:dyDescent="0.45">
      <c r="B105">
        <f t="shared" si="5"/>
        <v>96</v>
      </c>
      <c r="C105">
        <v>2</v>
      </c>
    </row>
    <row r="106" spans="2:3" x14ac:dyDescent="0.45">
      <c r="B106">
        <f t="shared" si="5"/>
        <v>97</v>
      </c>
      <c r="C106">
        <v>0</v>
      </c>
    </row>
    <row r="107" spans="2:3" x14ac:dyDescent="0.45">
      <c r="B107">
        <f t="shared" si="5"/>
        <v>98</v>
      </c>
      <c r="C107">
        <v>1</v>
      </c>
    </row>
    <row r="108" spans="2:3" x14ac:dyDescent="0.45">
      <c r="B108">
        <f t="shared" si="5"/>
        <v>99</v>
      </c>
      <c r="C108">
        <v>1</v>
      </c>
    </row>
    <row r="109" spans="2:3" x14ac:dyDescent="0.45">
      <c r="B109">
        <f t="shared" si="5"/>
        <v>100</v>
      </c>
      <c r="C109">
        <v>2</v>
      </c>
    </row>
    <row r="110" spans="2:3" x14ac:dyDescent="0.45">
      <c r="B110">
        <f t="shared" si="5"/>
        <v>101</v>
      </c>
      <c r="C110">
        <v>0</v>
      </c>
    </row>
    <row r="111" spans="2:3" x14ac:dyDescent="0.45">
      <c r="B111">
        <f t="shared" si="5"/>
        <v>102</v>
      </c>
      <c r="C111">
        <v>1</v>
      </c>
    </row>
    <row r="112" spans="2:3" x14ac:dyDescent="0.45">
      <c r="B112">
        <f t="shared" si="5"/>
        <v>103</v>
      </c>
      <c r="C112">
        <v>0</v>
      </c>
    </row>
    <row r="113" spans="2:3" x14ac:dyDescent="0.45">
      <c r="B113">
        <f t="shared" si="5"/>
        <v>104</v>
      </c>
      <c r="C113">
        <v>1</v>
      </c>
    </row>
    <row r="114" spans="2:3" x14ac:dyDescent="0.45">
      <c r="B114">
        <f t="shared" si="5"/>
        <v>105</v>
      </c>
      <c r="C114">
        <v>4</v>
      </c>
    </row>
    <row r="115" spans="2:3" x14ac:dyDescent="0.45">
      <c r="B115">
        <f t="shared" si="5"/>
        <v>106</v>
      </c>
      <c r="C115">
        <v>0</v>
      </c>
    </row>
    <row r="116" spans="2:3" x14ac:dyDescent="0.45">
      <c r="B116">
        <f t="shared" si="5"/>
        <v>107</v>
      </c>
      <c r="C116">
        <v>1</v>
      </c>
    </row>
    <row r="117" spans="2:3" x14ac:dyDescent="0.45">
      <c r="B117">
        <f t="shared" si="5"/>
        <v>108</v>
      </c>
      <c r="C117">
        <v>0</v>
      </c>
    </row>
    <row r="118" spans="2:3" x14ac:dyDescent="0.45">
      <c r="B118">
        <f t="shared" si="5"/>
        <v>109</v>
      </c>
      <c r="C118">
        <v>2</v>
      </c>
    </row>
    <row r="119" spans="2:3" x14ac:dyDescent="0.45">
      <c r="B119">
        <f t="shared" si="5"/>
        <v>110</v>
      </c>
      <c r="C119">
        <v>1</v>
      </c>
    </row>
    <row r="120" spans="2:3" x14ac:dyDescent="0.45">
      <c r="B120">
        <f t="shared" si="5"/>
        <v>111</v>
      </c>
      <c r="C120">
        <v>2</v>
      </c>
    </row>
    <row r="121" spans="2:3" x14ac:dyDescent="0.45">
      <c r="B121">
        <f t="shared" si="5"/>
        <v>112</v>
      </c>
      <c r="C121">
        <v>4</v>
      </c>
    </row>
    <row r="122" spans="2:3" x14ac:dyDescent="0.45">
      <c r="B122">
        <f t="shared" si="5"/>
        <v>113</v>
      </c>
      <c r="C122">
        <v>3</v>
      </c>
    </row>
    <row r="123" spans="2:3" x14ac:dyDescent="0.45">
      <c r="B123">
        <f t="shared" si="5"/>
        <v>114</v>
      </c>
      <c r="C123">
        <v>2</v>
      </c>
    </row>
    <row r="124" spans="2:3" x14ac:dyDescent="0.45">
      <c r="B124">
        <f t="shared" si="5"/>
        <v>115</v>
      </c>
      <c r="C124">
        <v>1</v>
      </c>
    </row>
    <row r="125" spans="2:3" x14ac:dyDescent="0.45">
      <c r="B125">
        <f t="shared" si="5"/>
        <v>116</v>
      </c>
      <c r="C125">
        <v>0</v>
      </c>
    </row>
    <row r="126" spans="2:3" x14ac:dyDescent="0.45">
      <c r="B126">
        <f t="shared" si="5"/>
        <v>117</v>
      </c>
      <c r="C126">
        <v>2</v>
      </c>
    </row>
    <row r="127" spans="2:3" x14ac:dyDescent="0.45">
      <c r="B127">
        <f t="shared" si="5"/>
        <v>118</v>
      </c>
      <c r="C127">
        <v>2</v>
      </c>
    </row>
    <row r="128" spans="2:3" x14ac:dyDescent="0.45">
      <c r="B128">
        <f t="shared" si="5"/>
        <v>119</v>
      </c>
      <c r="C128">
        <v>2</v>
      </c>
    </row>
    <row r="129" spans="2:3" x14ac:dyDescent="0.45">
      <c r="B129">
        <f t="shared" si="5"/>
        <v>120</v>
      </c>
      <c r="C129">
        <v>1</v>
      </c>
    </row>
    <row r="130" spans="2:3" x14ac:dyDescent="0.45">
      <c r="B130">
        <f t="shared" si="5"/>
        <v>121</v>
      </c>
      <c r="C130">
        <v>1</v>
      </c>
    </row>
    <row r="131" spans="2:3" x14ac:dyDescent="0.45">
      <c r="B131">
        <f t="shared" si="5"/>
        <v>122</v>
      </c>
      <c r="C131">
        <v>2</v>
      </c>
    </row>
    <row r="132" spans="2:3" x14ac:dyDescent="0.45">
      <c r="B132">
        <f t="shared" si="5"/>
        <v>123</v>
      </c>
      <c r="C132">
        <v>1</v>
      </c>
    </row>
    <row r="133" spans="2:3" x14ac:dyDescent="0.45">
      <c r="B133">
        <f t="shared" si="5"/>
        <v>124</v>
      </c>
      <c r="C133">
        <v>4</v>
      </c>
    </row>
    <row r="134" spans="2:3" x14ac:dyDescent="0.45">
      <c r="B134">
        <f t="shared" si="5"/>
        <v>125</v>
      </c>
      <c r="C134">
        <v>2</v>
      </c>
    </row>
    <row r="135" spans="2:3" x14ac:dyDescent="0.45">
      <c r="B135">
        <f t="shared" si="5"/>
        <v>126</v>
      </c>
      <c r="C135">
        <v>1</v>
      </c>
    </row>
    <row r="136" spans="2:3" x14ac:dyDescent="0.45">
      <c r="B136">
        <f t="shared" si="5"/>
        <v>127</v>
      </c>
      <c r="C136">
        <v>3</v>
      </c>
    </row>
    <row r="137" spans="2:3" x14ac:dyDescent="0.45">
      <c r="B137">
        <f t="shared" si="5"/>
        <v>128</v>
      </c>
      <c r="C137">
        <v>3</v>
      </c>
    </row>
    <row r="138" spans="2:3" x14ac:dyDescent="0.45">
      <c r="B138">
        <f t="shared" si="5"/>
        <v>129</v>
      </c>
      <c r="C138">
        <v>3</v>
      </c>
    </row>
    <row r="139" spans="2:3" x14ac:dyDescent="0.45">
      <c r="B139">
        <f t="shared" si="5"/>
        <v>130</v>
      </c>
      <c r="C139">
        <v>3</v>
      </c>
    </row>
    <row r="140" spans="2:3" x14ac:dyDescent="0.45">
      <c r="B140">
        <f t="shared" ref="B140:B166" si="6">B139+1</f>
        <v>131</v>
      </c>
      <c r="C140">
        <v>2</v>
      </c>
    </row>
    <row r="141" spans="2:3" x14ac:dyDescent="0.45">
      <c r="B141">
        <f t="shared" si="6"/>
        <v>132</v>
      </c>
      <c r="C141">
        <v>3</v>
      </c>
    </row>
    <row r="142" spans="2:3" x14ac:dyDescent="0.45">
      <c r="B142">
        <f t="shared" si="6"/>
        <v>133</v>
      </c>
      <c r="C142">
        <v>2</v>
      </c>
    </row>
    <row r="143" spans="2:3" x14ac:dyDescent="0.45">
      <c r="B143">
        <f t="shared" si="6"/>
        <v>134</v>
      </c>
      <c r="C143">
        <v>4</v>
      </c>
    </row>
    <row r="144" spans="2:3" x14ac:dyDescent="0.45">
      <c r="B144">
        <f t="shared" si="6"/>
        <v>135</v>
      </c>
      <c r="C144">
        <v>1</v>
      </c>
    </row>
    <row r="145" spans="2:3" x14ac:dyDescent="0.45">
      <c r="B145">
        <f t="shared" si="6"/>
        <v>136</v>
      </c>
      <c r="C145">
        <v>2</v>
      </c>
    </row>
    <row r="146" spans="2:3" x14ac:dyDescent="0.45">
      <c r="B146">
        <f t="shared" si="6"/>
        <v>137</v>
      </c>
      <c r="C146">
        <v>3</v>
      </c>
    </row>
    <row r="147" spans="2:3" x14ac:dyDescent="0.45">
      <c r="B147">
        <f t="shared" si="6"/>
        <v>138</v>
      </c>
      <c r="C147">
        <v>2</v>
      </c>
    </row>
    <row r="148" spans="2:3" x14ac:dyDescent="0.45">
      <c r="B148">
        <f t="shared" si="6"/>
        <v>139</v>
      </c>
      <c r="C148">
        <v>2</v>
      </c>
    </row>
    <row r="149" spans="2:3" x14ac:dyDescent="0.45">
      <c r="B149">
        <f t="shared" si="6"/>
        <v>140</v>
      </c>
      <c r="C149">
        <v>1</v>
      </c>
    </row>
    <row r="150" spans="2:3" x14ac:dyDescent="0.45">
      <c r="B150">
        <f t="shared" si="6"/>
        <v>141</v>
      </c>
      <c r="C150">
        <v>3</v>
      </c>
    </row>
    <row r="151" spans="2:3" x14ac:dyDescent="0.45">
      <c r="B151">
        <f t="shared" si="6"/>
        <v>142</v>
      </c>
      <c r="C151">
        <v>0</v>
      </c>
    </row>
    <row r="152" spans="2:3" x14ac:dyDescent="0.45">
      <c r="B152">
        <f t="shared" si="6"/>
        <v>143</v>
      </c>
      <c r="C152">
        <v>2</v>
      </c>
    </row>
    <row r="153" spans="2:3" x14ac:dyDescent="0.45">
      <c r="B153">
        <f t="shared" si="6"/>
        <v>144</v>
      </c>
      <c r="C153">
        <v>1</v>
      </c>
    </row>
    <row r="154" spans="2:3" x14ac:dyDescent="0.45">
      <c r="B154">
        <f t="shared" si="6"/>
        <v>145</v>
      </c>
      <c r="C154">
        <v>1</v>
      </c>
    </row>
    <row r="155" spans="2:3" x14ac:dyDescent="0.45">
      <c r="B155">
        <f t="shared" si="6"/>
        <v>146</v>
      </c>
      <c r="C155">
        <v>2</v>
      </c>
    </row>
    <row r="156" spans="2:3" x14ac:dyDescent="0.45">
      <c r="B156">
        <f t="shared" si="6"/>
        <v>147</v>
      </c>
      <c r="C156">
        <v>3</v>
      </c>
    </row>
    <row r="157" spans="2:3" x14ac:dyDescent="0.45">
      <c r="B157">
        <f t="shared" si="6"/>
        <v>148</v>
      </c>
      <c r="C157">
        <v>0</v>
      </c>
    </row>
    <row r="158" spans="2:3" x14ac:dyDescent="0.45">
      <c r="B158">
        <f t="shared" si="6"/>
        <v>149</v>
      </c>
      <c r="C158">
        <v>2</v>
      </c>
    </row>
    <row r="159" spans="2:3" x14ac:dyDescent="0.45">
      <c r="B159">
        <f t="shared" si="6"/>
        <v>150</v>
      </c>
      <c r="C159">
        <v>2</v>
      </c>
    </row>
    <row r="160" spans="2:3" x14ac:dyDescent="0.45">
      <c r="B160">
        <f t="shared" si="6"/>
        <v>151</v>
      </c>
      <c r="C160">
        <v>1</v>
      </c>
    </row>
    <row r="161" spans="2:3" x14ac:dyDescent="0.45">
      <c r="B161">
        <f t="shared" si="6"/>
        <v>152</v>
      </c>
      <c r="C161">
        <v>2</v>
      </c>
    </row>
    <row r="162" spans="2:3" x14ac:dyDescent="0.45">
      <c r="B162">
        <f t="shared" si="6"/>
        <v>153</v>
      </c>
      <c r="C162">
        <v>2</v>
      </c>
    </row>
    <row r="163" spans="2:3" x14ac:dyDescent="0.45">
      <c r="B163">
        <f t="shared" si="6"/>
        <v>154</v>
      </c>
      <c r="C163">
        <v>3</v>
      </c>
    </row>
    <row r="164" spans="2:3" x14ac:dyDescent="0.45">
      <c r="B164">
        <f t="shared" si="6"/>
        <v>155</v>
      </c>
      <c r="C164">
        <v>2</v>
      </c>
    </row>
    <row r="165" spans="2:3" x14ac:dyDescent="0.45">
      <c r="B165">
        <f t="shared" si="6"/>
        <v>156</v>
      </c>
      <c r="C165">
        <v>0</v>
      </c>
    </row>
    <row r="166" spans="2:3" x14ac:dyDescent="0.45">
      <c r="B166">
        <f t="shared" si="6"/>
        <v>157</v>
      </c>
      <c r="C166">
        <v>1</v>
      </c>
    </row>
  </sheetData>
  <sortState ref="H25:H31">
    <sortCondition ref="H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87A7-7123-4005-AC3C-97E950E418F0}">
  <dimension ref="A1:L193"/>
  <sheetViews>
    <sheetView topLeftCell="A28" workbookViewId="0">
      <selection activeCell="E1" sqref="E1"/>
    </sheetView>
  </sheetViews>
  <sheetFormatPr defaultRowHeight="14.25" x14ac:dyDescent="0.45"/>
  <cols>
    <col min="4" max="4" width="10.53125" customWidth="1"/>
  </cols>
  <sheetData>
    <row r="1" spans="1:5" x14ac:dyDescent="0.45">
      <c r="A1" s="2" t="s">
        <v>32</v>
      </c>
      <c r="B1" s="2"/>
      <c r="C1" s="2"/>
      <c r="D1" s="2"/>
    </row>
    <row r="3" spans="1:5" x14ac:dyDescent="0.45">
      <c r="A3" s="2">
        <v>1</v>
      </c>
      <c r="B3" t="s">
        <v>0</v>
      </c>
    </row>
    <row r="4" spans="1:5" x14ac:dyDescent="0.45">
      <c r="B4" t="s">
        <v>33</v>
      </c>
      <c r="E4">
        <v>3.7441938535721917</v>
      </c>
    </row>
    <row r="5" spans="1:5" x14ac:dyDescent="0.45">
      <c r="B5" t="s">
        <v>34</v>
      </c>
      <c r="E5" s="1">
        <v>184.5698416089358</v>
      </c>
    </row>
    <row r="7" spans="1:5" x14ac:dyDescent="0.45">
      <c r="A7" s="2">
        <v>2</v>
      </c>
      <c r="B7" t="s">
        <v>3</v>
      </c>
    </row>
    <row r="8" spans="1:5" x14ac:dyDescent="0.45">
      <c r="B8" t="s">
        <v>4</v>
      </c>
      <c r="C8" t="s">
        <v>5</v>
      </c>
    </row>
    <row r="9" spans="1:5" x14ac:dyDescent="0.45">
      <c r="B9">
        <v>1</v>
      </c>
      <c r="C9">
        <v>4</v>
      </c>
    </row>
    <row r="10" spans="1:5" x14ac:dyDescent="0.45">
      <c r="B10">
        <f>B9+1</f>
        <v>2</v>
      </c>
      <c r="C10">
        <v>2</v>
      </c>
    </row>
    <row r="11" spans="1:5" x14ac:dyDescent="0.45">
      <c r="B11">
        <f t="shared" ref="B11:B74" si="0">B10+1</f>
        <v>3</v>
      </c>
      <c r="C11">
        <v>3</v>
      </c>
    </row>
    <row r="12" spans="1:5" x14ac:dyDescent="0.45">
      <c r="B12">
        <f t="shared" si="0"/>
        <v>4</v>
      </c>
      <c r="C12">
        <v>8</v>
      </c>
    </row>
    <row r="13" spans="1:5" x14ac:dyDescent="0.45">
      <c r="B13">
        <f t="shared" si="0"/>
        <v>5</v>
      </c>
      <c r="C13">
        <v>6</v>
      </c>
    </row>
    <row r="14" spans="1:5" x14ac:dyDescent="0.45">
      <c r="B14">
        <f t="shared" si="0"/>
        <v>6</v>
      </c>
      <c r="C14">
        <v>5</v>
      </c>
    </row>
    <row r="15" spans="1:5" x14ac:dyDescent="0.45">
      <c r="B15">
        <f t="shared" si="0"/>
        <v>7</v>
      </c>
      <c r="C15">
        <v>5</v>
      </c>
    </row>
    <row r="16" spans="1:5" x14ac:dyDescent="0.45">
      <c r="B16">
        <f t="shared" si="0"/>
        <v>8</v>
      </c>
      <c r="C16">
        <v>0</v>
      </c>
    </row>
    <row r="17" spans="2:12" x14ac:dyDescent="0.45">
      <c r="B17">
        <f t="shared" si="0"/>
        <v>9</v>
      </c>
      <c r="C17">
        <v>7</v>
      </c>
    </row>
    <row r="18" spans="2:12" x14ac:dyDescent="0.45">
      <c r="B18">
        <f t="shared" si="0"/>
        <v>10</v>
      </c>
      <c r="C18">
        <v>3</v>
      </c>
    </row>
    <row r="19" spans="2:12" x14ac:dyDescent="0.45">
      <c r="B19">
        <f t="shared" si="0"/>
        <v>11</v>
      </c>
      <c r="C19">
        <v>1</v>
      </c>
    </row>
    <row r="20" spans="2:12" x14ac:dyDescent="0.45">
      <c r="B20">
        <f t="shared" si="0"/>
        <v>12</v>
      </c>
      <c r="C20">
        <v>2</v>
      </c>
    </row>
    <row r="21" spans="2:12" ht="14.65" thickBot="1" x14ac:dyDescent="0.5">
      <c r="B21">
        <f t="shared" si="0"/>
        <v>13</v>
      </c>
      <c r="C21">
        <v>8</v>
      </c>
      <c r="E21" s="2">
        <v>3</v>
      </c>
      <c r="F21" t="s">
        <v>7</v>
      </c>
    </row>
    <row r="22" spans="2:12" x14ac:dyDescent="0.45">
      <c r="B22">
        <f t="shared" si="0"/>
        <v>14</v>
      </c>
      <c r="C22">
        <v>5</v>
      </c>
      <c r="E22" t="s">
        <v>8</v>
      </c>
      <c r="G22" s="6" t="s">
        <v>9</v>
      </c>
      <c r="H22" s="6" t="s">
        <v>11</v>
      </c>
      <c r="J22" t="s">
        <v>30</v>
      </c>
      <c r="K22" t="s">
        <v>14</v>
      </c>
      <c r="L22" t="s">
        <v>31</v>
      </c>
    </row>
    <row r="23" spans="2:12" x14ac:dyDescent="0.45">
      <c r="B23">
        <f t="shared" si="0"/>
        <v>15</v>
      </c>
      <c r="C23">
        <v>3</v>
      </c>
      <c r="E23">
        <v>0</v>
      </c>
      <c r="G23" s="3">
        <v>0</v>
      </c>
      <c r="H23" s="4">
        <v>7</v>
      </c>
      <c r="J23">
        <f t="shared" ref="J23:J35" si="1">H23/$H$36</f>
        <v>3.783783783783784E-2</v>
      </c>
      <c r="K23">
        <f>_xlfn.POISSON.DIST(E23, $E$4, FALSE)</f>
        <v>2.3654690507735908E-2</v>
      </c>
      <c r="L23">
        <f>J23</f>
        <v>3.783783783783784E-2</v>
      </c>
    </row>
    <row r="24" spans="2:12" x14ac:dyDescent="0.45">
      <c r="B24">
        <f t="shared" si="0"/>
        <v>16</v>
      </c>
      <c r="C24">
        <v>2</v>
      </c>
      <c r="E24">
        <v>1</v>
      </c>
      <c r="G24" s="3">
        <v>1</v>
      </c>
      <c r="H24" s="4">
        <v>25</v>
      </c>
      <c r="J24">
        <f t="shared" si="1"/>
        <v>0.13513513513513514</v>
      </c>
      <c r="K24">
        <f>_xlfn.POISSON.DIST(E24, $E$4, FALSE)</f>
        <v>8.8567746807217254E-2</v>
      </c>
      <c r="L24">
        <f>L23+J24</f>
        <v>0.17297297297297298</v>
      </c>
    </row>
    <row r="25" spans="2:12" x14ac:dyDescent="0.45">
      <c r="B25">
        <f t="shared" si="0"/>
        <v>17</v>
      </c>
      <c r="C25">
        <v>1</v>
      </c>
      <c r="E25">
        <f>E24+1</f>
        <v>2</v>
      </c>
      <c r="G25" s="3">
        <v>2</v>
      </c>
      <c r="H25" s="4">
        <v>20</v>
      </c>
      <c r="J25">
        <f t="shared" si="1"/>
        <v>0.10810810810810811</v>
      </c>
      <c r="K25">
        <f t="shared" ref="K25:K34" si="2">_xlfn.POISSON.DIST(E25, $E$4, FALSE)</f>
        <v>0.1658074066101605</v>
      </c>
      <c r="L25">
        <f>L24+J25</f>
        <v>0.2810810810810811</v>
      </c>
    </row>
    <row r="26" spans="2:12" x14ac:dyDescent="0.45">
      <c r="B26">
        <f t="shared" si="0"/>
        <v>18</v>
      </c>
      <c r="C26">
        <v>8</v>
      </c>
      <c r="E26">
        <f t="shared" ref="E26:E34" si="3">E25+1</f>
        <v>3</v>
      </c>
      <c r="G26" s="3">
        <v>3</v>
      </c>
      <c r="H26" s="4">
        <v>32</v>
      </c>
      <c r="J26">
        <f t="shared" si="1"/>
        <v>0.17297297297297298</v>
      </c>
      <c r="K26">
        <f t="shared" si="2"/>
        <v>0.20693835756883605</v>
      </c>
      <c r="L26">
        <f t="shared" ref="L26:L34" si="4">L25+J26</f>
        <v>0.45405405405405408</v>
      </c>
    </row>
    <row r="27" spans="2:12" x14ac:dyDescent="0.45">
      <c r="B27">
        <f t="shared" si="0"/>
        <v>19</v>
      </c>
      <c r="C27">
        <v>2</v>
      </c>
      <c r="E27">
        <f t="shared" si="3"/>
        <v>4</v>
      </c>
      <c r="G27" s="3">
        <v>4</v>
      </c>
      <c r="H27" s="4">
        <v>31</v>
      </c>
      <c r="J27">
        <f t="shared" si="1"/>
        <v>0.16756756756756758</v>
      </c>
      <c r="K27">
        <f t="shared" si="2"/>
        <v>0.1937043316193901</v>
      </c>
      <c r="L27">
        <f t="shared" si="4"/>
        <v>0.62162162162162171</v>
      </c>
    </row>
    <row r="28" spans="2:12" x14ac:dyDescent="0.45">
      <c r="B28">
        <f t="shared" si="0"/>
        <v>20</v>
      </c>
      <c r="C28">
        <v>5</v>
      </c>
      <c r="E28">
        <f t="shared" si="3"/>
        <v>5</v>
      </c>
      <c r="G28" s="3">
        <v>5</v>
      </c>
      <c r="H28" s="4">
        <v>31</v>
      </c>
      <c r="J28">
        <f t="shared" si="1"/>
        <v>0.16756756756756758</v>
      </c>
      <c r="K28">
        <f t="shared" si="2"/>
        <v>0.14505331357192597</v>
      </c>
      <c r="L28">
        <f t="shared" si="4"/>
        <v>0.78918918918918934</v>
      </c>
    </row>
    <row r="29" spans="2:12" x14ac:dyDescent="0.45">
      <c r="B29">
        <f t="shared" si="0"/>
        <v>21</v>
      </c>
      <c r="C29">
        <v>4</v>
      </c>
      <c r="E29">
        <f t="shared" si="3"/>
        <v>6</v>
      </c>
      <c r="G29" s="3">
        <v>6</v>
      </c>
      <c r="H29" s="4">
        <v>19</v>
      </c>
      <c r="J29">
        <f t="shared" si="1"/>
        <v>0.10270270270270271</v>
      </c>
      <c r="K29">
        <f t="shared" si="2"/>
        <v>9.0517954186047467E-2</v>
      </c>
      <c r="L29">
        <f t="shared" si="4"/>
        <v>0.89189189189189211</v>
      </c>
    </row>
    <row r="30" spans="2:12" x14ac:dyDescent="0.45">
      <c r="B30">
        <f t="shared" si="0"/>
        <v>22</v>
      </c>
      <c r="C30">
        <v>3</v>
      </c>
      <c r="E30">
        <f t="shared" si="3"/>
        <v>7</v>
      </c>
      <c r="G30" s="3">
        <v>7</v>
      </c>
      <c r="H30" s="4">
        <v>14</v>
      </c>
      <c r="J30">
        <f t="shared" si="1"/>
        <v>7.567567567567568E-2</v>
      </c>
      <c r="K30">
        <f t="shared" si="2"/>
        <v>4.8416681100189762E-2</v>
      </c>
      <c r="L30">
        <f t="shared" si="4"/>
        <v>0.96756756756756779</v>
      </c>
    </row>
    <row r="31" spans="2:12" x14ac:dyDescent="0.45">
      <c r="B31">
        <f t="shared" si="0"/>
        <v>23</v>
      </c>
      <c r="C31">
        <v>1</v>
      </c>
      <c r="E31">
        <f t="shared" si="3"/>
        <v>8</v>
      </c>
      <c r="G31" s="3">
        <v>8</v>
      </c>
      <c r="H31" s="4">
        <v>4</v>
      </c>
      <c r="J31">
        <f t="shared" si="1"/>
        <v>2.1621621621621623E-2</v>
      </c>
      <c r="K31">
        <f t="shared" si="2"/>
        <v>2.266017997321192E-2</v>
      </c>
      <c r="L31">
        <f t="shared" si="4"/>
        <v>0.98918918918918941</v>
      </c>
    </row>
    <row r="32" spans="2:12" x14ac:dyDescent="0.45">
      <c r="B32">
        <f t="shared" si="0"/>
        <v>24</v>
      </c>
      <c r="C32">
        <v>5</v>
      </c>
      <c r="E32">
        <f t="shared" si="3"/>
        <v>9</v>
      </c>
      <c r="G32" s="3">
        <v>9</v>
      </c>
      <c r="H32" s="4">
        <v>0</v>
      </c>
      <c r="J32">
        <f t="shared" si="1"/>
        <v>0</v>
      </c>
      <c r="K32">
        <f t="shared" si="2"/>
        <v>9.4271229529488687E-3</v>
      </c>
      <c r="L32">
        <f t="shared" si="4"/>
        <v>0.98918918918918941</v>
      </c>
    </row>
    <row r="33" spans="2:12" x14ac:dyDescent="0.45">
      <c r="B33">
        <f t="shared" si="0"/>
        <v>25</v>
      </c>
      <c r="C33">
        <v>5</v>
      </c>
      <c r="E33">
        <f t="shared" si="3"/>
        <v>10</v>
      </c>
      <c r="G33" s="3">
        <v>10</v>
      </c>
      <c r="H33" s="4">
        <v>1</v>
      </c>
      <c r="J33">
        <f t="shared" si="1"/>
        <v>5.4054054054054057E-3</v>
      </c>
      <c r="K33">
        <f t="shared" si="2"/>
        <v>3.5296975817300461E-3</v>
      </c>
      <c r="L33">
        <f t="shared" si="4"/>
        <v>0.99459459459459487</v>
      </c>
    </row>
    <row r="34" spans="2:12" x14ac:dyDescent="0.45">
      <c r="B34">
        <f t="shared" si="0"/>
        <v>26</v>
      </c>
      <c r="C34">
        <v>4</v>
      </c>
      <c r="E34">
        <f t="shared" si="3"/>
        <v>11</v>
      </c>
      <c r="G34" s="3">
        <v>11</v>
      </c>
      <c r="H34" s="4">
        <v>1</v>
      </c>
      <c r="J34">
        <f t="shared" si="1"/>
        <v>5.4054054054054057E-3</v>
      </c>
      <c r="K34">
        <f t="shared" si="2"/>
        <v>1.2014429082256599E-3</v>
      </c>
      <c r="L34">
        <f t="shared" si="4"/>
        <v>1.0000000000000002</v>
      </c>
    </row>
    <row r="35" spans="2:12" ht="14.65" thickBot="1" x14ac:dyDescent="0.5">
      <c r="B35">
        <f t="shared" si="0"/>
        <v>27</v>
      </c>
      <c r="C35">
        <v>4</v>
      </c>
      <c r="G35" s="5" t="s">
        <v>10</v>
      </c>
      <c r="H35" s="5">
        <v>0</v>
      </c>
      <c r="J35">
        <f t="shared" si="1"/>
        <v>0</v>
      </c>
    </row>
    <row r="36" spans="2:12" x14ac:dyDescent="0.45">
      <c r="B36">
        <f t="shared" si="0"/>
        <v>28</v>
      </c>
      <c r="C36">
        <v>4</v>
      </c>
      <c r="G36" t="s">
        <v>29</v>
      </c>
      <c r="H36">
        <f>SUM(H23:H34)</f>
        <v>185</v>
      </c>
      <c r="J36">
        <f>SUM(J24:J34)</f>
        <v>0.96216216216216233</v>
      </c>
      <c r="K36">
        <f>SUM(K24:K34)</f>
        <v>0.97582423487988357</v>
      </c>
    </row>
    <row r="37" spans="2:12" x14ac:dyDescent="0.45">
      <c r="B37">
        <f t="shared" si="0"/>
        <v>29</v>
      </c>
      <c r="C37">
        <v>6</v>
      </c>
    </row>
    <row r="38" spans="2:12" x14ac:dyDescent="0.45">
      <c r="B38">
        <f t="shared" si="0"/>
        <v>30</v>
      </c>
      <c r="C38">
        <v>4</v>
      </c>
      <c r="E38" s="2">
        <v>4</v>
      </c>
      <c r="F38" t="s">
        <v>16</v>
      </c>
    </row>
    <row r="39" spans="2:12" x14ac:dyDescent="0.45">
      <c r="B39">
        <f t="shared" si="0"/>
        <v>31</v>
      </c>
      <c r="C39">
        <v>1</v>
      </c>
      <c r="E39" t="s">
        <v>17</v>
      </c>
      <c r="I39">
        <f>AVERAGE(C9:C193)</f>
        <v>3.810810810810811</v>
      </c>
    </row>
    <row r="40" spans="2:12" x14ac:dyDescent="0.45">
      <c r="B40">
        <f t="shared" si="0"/>
        <v>32</v>
      </c>
      <c r="C40">
        <v>5</v>
      </c>
      <c r="E40" t="s">
        <v>18</v>
      </c>
      <c r="I40">
        <f>_xlfn.STDEV.S(C9:C193)</f>
        <v>2.1166759964140791</v>
      </c>
    </row>
    <row r="41" spans="2:12" x14ac:dyDescent="0.45">
      <c r="B41">
        <f t="shared" si="0"/>
        <v>33</v>
      </c>
      <c r="C41">
        <v>1</v>
      </c>
      <c r="E41" t="s">
        <v>19</v>
      </c>
      <c r="I41">
        <f>_xlfn.VAR.S(C9:C193)</f>
        <v>4.4803172737955341</v>
      </c>
    </row>
    <row r="42" spans="2:12" x14ac:dyDescent="0.45">
      <c r="B42">
        <f t="shared" si="0"/>
        <v>34</v>
      </c>
      <c r="C42">
        <v>3</v>
      </c>
      <c r="E42" t="s">
        <v>20</v>
      </c>
      <c r="I42">
        <f>SKEW(C9:C193)</f>
        <v>0.30713749082470304</v>
      </c>
    </row>
    <row r="43" spans="2:12" x14ac:dyDescent="0.45">
      <c r="B43">
        <f t="shared" si="0"/>
        <v>35</v>
      </c>
      <c r="C43">
        <v>7</v>
      </c>
      <c r="E43" t="s">
        <v>21</v>
      </c>
      <c r="I43">
        <f>KURT(C9:C193)</f>
        <v>-8.9265672943708019E-2</v>
      </c>
    </row>
    <row r="44" spans="2:12" x14ac:dyDescent="0.45">
      <c r="B44">
        <f t="shared" si="0"/>
        <v>36</v>
      </c>
      <c r="C44">
        <v>7</v>
      </c>
    </row>
    <row r="45" spans="2:12" x14ac:dyDescent="0.45">
      <c r="B45">
        <f t="shared" si="0"/>
        <v>37</v>
      </c>
      <c r="C45">
        <v>4</v>
      </c>
    </row>
    <row r="46" spans="2:12" x14ac:dyDescent="0.45">
      <c r="B46">
        <f t="shared" si="0"/>
        <v>38</v>
      </c>
      <c r="C46">
        <v>6</v>
      </c>
    </row>
    <row r="47" spans="2:12" x14ac:dyDescent="0.45">
      <c r="B47">
        <f t="shared" si="0"/>
        <v>39</v>
      </c>
      <c r="C47">
        <v>4</v>
      </c>
    </row>
    <row r="48" spans="2:12" x14ac:dyDescent="0.45">
      <c r="B48">
        <f t="shared" si="0"/>
        <v>40</v>
      </c>
      <c r="C48">
        <v>3</v>
      </c>
    </row>
    <row r="49" spans="2:3" x14ac:dyDescent="0.45">
      <c r="B49">
        <f t="shared" si="0"/>
        <v>41</v>
      </c>
      <c r="C49">
        <v>3</v>
      </c>
    </row>
    <row r="50" spans="2:3" x14ac:dyDescent="0.45">
      <c r="B50">
        <f t="shared" si="0"/>
        <v>42</v>
      </c>
      <c r="C50">
        <v>4</v>
      </c>
    </row>
    <row r="51" spans="2:3" x14ac:dyDescent="0.45">
      <c r="B51">
        <f t="shared" si="0"/>
        <v>43</v>
      </c>
      <c r="C51">
        <v>5</v>
      </c>
    </row>
    <row r="52" spans="2:3" x14ac:dyDescent="0.45">
      <c r="B52">
        <f t="shared" si="0"/>
        <v>44</v>
      </c>
      <c r="C52">
        <v>5</v>
      </c>
    </row>
    <row r="53" spans="2:3" x14ac:dyDescent="0.45">
      <c r="B53">
        <f t="shared" si="0"/>
        <v>45</v>
      </c>
      <c r="C53">
        <v>3</v>
      </c>
    </row>
    <row r="54" spans="2:3" x14ac:dyDescent="0.45">
      <c r="B54">
        <f t="shared" si="0"/>
        <v>46</v>
      </c>
      <c r="C54">
        <v>6</v>
      </c>
    </row>
    <row r="55" spans="2:3" x14ac:dyDescent="0.45">
      <c r="B55">
        <f t="shared" si="0"/>
        <v>47</v>
      </c>
      <c r="C55">
        <v>4</v>
      </c>
    </row>
    <row r="56" spans="2:3" x14ac:dyDescent="0.45">
      <c r="B56">
        <f t="shared" si="0"/>
        <v>48</v>
      </c>
      <c r="C56">
        <v>6</v>
      </c>
    </row>
    <row r="57" spans="2:3" x14ac:dyDescent="0.45">
      <c r="B57">
        <f t="shared" si="0"/>
        <v>49</v>
      </c>
      <c r="C57">
        <v>3</v>
      </c>
    </row>
    <row r="58" spans="2:3" x14ac:dyDescent="0.45">
      <c r="B58">
        <f t="shared" si="0"/>
        <v>50</v>
      </c>
      <c r="C58">
        <v>0</v>
      </c>
    </row>
    <row r="59" spans="2:3" x14ac:dyDescent="0.45">
      <c r="B59">
        <f t="shared" si="0"/>
        <v>51</v>
      </c>
      <c r="C59">
        <v>5</v>
      </c>
    </row>
    <row r="60" spans="2:3" x14ac:dyDescent="0.45">
      <c r="B60">
        <f t="shared" si="0"/>
        <v>52</v>
      </c>
      <c r="C60">
        <v>6</v>
      </c>
    </row>
    <row r="61" spans="2:3" x14ac:dyDescent="0.45">
      <c r="B61">
        <f t="shared" si="0"/>
        <v>53</v>
      </c>
      <c r="C61">
        <v>5</v>
      </c>
    </row>
    <row r="62" spans="2:3" x14ac:dyDescent="0.45">
      <c r="B62">
        <f t="shared" si="0"/>
        <v>54</v>
      </c>
      <c r="C62">
        <v>5</v>
      </c>
    </row>
    <row r="63" spans="2:3" x14ac:dyDescent="0.45">
      <c r="B63">
        <f t="shared" si="0"/>
        <v>55</v>
      </c>
      <c r="C63">
        <v>7</v>
      </c>
    </row>
    <row r="64" spans="2:3" x14ac:dyDescent="0.45">
      <c r="B64">
        <f t="shared" si="0"/>
        <v>56</v>
      </c>
      <c r="C64">
        <v>2</v>
      </c>
    </row>
    <row r="65" spans="2:3" x14ac:dyDescent="0.45">
      <c r="B65">
        <f t="shared" si="0"/>
        <v>57</v>
      </c>
      <c r="C65">
        <v>3</v>
      </c>
    </row>
    <row r="66" spans="2:3" x14ac:dyDescent="0.45">
      <c r="B66">
        <f t="shared" si="0"/>
        <v>58</v>
      </c>
      <c r="C66">
        <v>7</v>
      </c>
    </row>
    <row r="67" spans="2:3" x14ac:dyDescent="0.45">
      <c r="B67">
        <f t="shared" si="0"/>
        <v>59</v>
      </c>
      <c r="C67">
        <v>2</v>
      </c>
    </row>
    <row r="68" spans="2:3" x14ac:dyDescent="0.45">
      <c r="B68">
        <f t="shared" si="0"/>
        <v>60</v>
      </c>
      <c r="C68">
        <v>4</v>
      </c>
    </row>
    <row r="69" spans="2:3" x14ac:dyDescent="0.45">
      <c r="B69">
        <f t="shared" si="0"/>
        <v>61</v>
      </c>
      <c r="C69">
        <v>5</v>
      </c>
    </row>
    <row r="70" spans="2:3" x14ac:dyDescent="0.45">
      <c r="B70">
        <f t="shared" si="0"/>
        <v>62</v>
      </c>
      <c r="C70">
        <v>3</v>
      </c>
    </row>
    <row r="71" spans="2:3" x14ac:dyDescent="0.45">
      <c r="B71">
        <f t="shared" si="0"/>
        <v>63</v>
      </c>
      <c r="C71">
        <v>6</v>
      </c>
    </row>
    <row r="72" spans="2:3" x14ac:dyDescent="0.45">
      <c r="B72">
        <f t="shared" si="0"/>
        <v>64</v>
      </c>
      <c r="C72">
        <v>6</v>
      </c>
    </row>
    <row r="73" spans="2:3" x14ac:dyDescent="0.45">
      <c r="B73">
        <f t="shared" si="0"/>
        <v>65</v>
      </c>
      <c r="C73">
        <v>6</v>
      </c>
    </row>
    <row r="74" spans="2:3" x14ac:dyDescent="0.45">
      <c r="B74">
        <f t="shared" si="0"/>
        <v>66</v>
      </c>
      <c r="C74">
        <v>6</v>
      </c>
    </row>
    <row r="75" spans="2:3" x14ac:dyDescent="0.45">
      <c r="B75">
        <f t="shared" ref="B75:B138" si="5">B74+1</f>
        <v>67</v>
      </c>
      <c r="C75">
        <v>4</v>
      </c>
    </row>
    <row r="76" spans="2:3" x14ac:dyDescent="0.45">
      <c r="B76">
        <f t="shared" si="5"/>
        <v>68</v>
      </c>
      <c r="C76">
        <v>5</v>
      </c>
    </row>
    <row r="77" spans="2:3" x14ac:dyDescent="0.45">
      <c r="B77">
        <f t="shared" si="5"/>
        <v>69</v>
      </c>
      <c r="C77">
        <v>3</v>
      </c>
    </row>
    <row r="78" spans="2:3" x14ac:dyDescent="0.45">
      <c r="B78">
        <f t="shared" si="5"/>
        <v>70</v>
      </c>
      <c r="C78">
        <v>0</v>
      </c>
    </row>
    <row r="79" spans="2:3" x14ac:dyDescent="0.45">
      <c r="B79">
        <f t="shared" si="5"/>
        <v>71</v>
      </c>
      <c r="C79">
        <v>7</v>
      </c>
    </row>
    <row r="80" spans="2:3" x14ac:dyDescent="0.45">
      <c r="B80">
        <f t="shared" si="5"/>
        <v>72</v>
      </c>
      <c r="C80">
        <v>0</v>
      </c>
    </row>
    <row r="81" spans="2:3" x14ac:dyDescent="0.45">
      <c r="B81">
        <f t="shared" si="5"/>
        <v>73</v>
      </c>
      <c r="C81">
        <v>4</v>
      </c>
    </row>
    <row r="82" spans="2:3" x14ac:dyDescent="0.45">
      <c r="B82">
        <f t="shared" si="5"/>
        <v>74</v>
      </c>
      <c r="C82">
        <v>4</v>
      </c>
    </row>
    <row r="83" spans="2:3" x14ac:dyDescent="0.45">
      <c r="B83">
        <f t="shared" si="5"/>
        <v>75</v>
      </c>
      <c r="C83">
        <v>4</v>
      </c>
    </row>
    <row r="84" spans="2:3" x14ac:dyDescent="0.45">
      <c r="B84">
        <f t="shared" si="5"/>
        <v>76</v>
      </c>
      <c r="C84">
        <v>1</v>
      </c>
    </row>
    <row r="85" spans="2:3" x14ac:dyDescent="0.45">
      <c r="B85">
        <f t="shared" si="5"/>
        <v>77</v>
      </c>
      <c r="C85">
        <v>0</v>
      </c>
    </row>
    <row r="86" spans="2:3" x14ac:dyDescent="0.45">
      <c r="B86">
        <f t="shared" si="5"/>
        <v>78</v>
      </c>
      <c r="C86">
        <v>1</v>
      </c>
    </row>
    <row r="87" spans="2:3" x14ac:dyDescent="0.45">
      <c r="B87">
        <f t="shared" si="5"/>
        <v>79</v>
      </c>
      <c r="C87">
        <v>5</v>
      </c>
    </row>
    <row r="88" spans="2:3" x14ac:dyDescent="0.45">
      <c r="B88">
        <f t="shared" si="5"/>
        <v>80</v>
      </c>
      <c r="C88">
        <v>1</v>
      </c>
    </row>
    <row r="89" spans="2:3" x14ac:dyDescent="0.45">
      <c r="B89">
        <f t="shared" si="5"/>
        <v>81</v>
      </c>
      <c r="C89">
        <v>2</v>
      </c>
    </row>
    <row r="90" spans="2:3" x14ac:dyDescent="0.45">
      <c r="B90">
        <f t="shared" si="5"/>
        <v>82</v>
      </c>
      <c r="C90">
        <v>5</v>
      </c>
    </row>
    <row r="91" spans="2:3" x14ac:dyDescent="0.45">
      <c r="B91">
        <f t="shared" si="5"/>
        <v>83</v>
      </c>
      <c r="C91">
        <v>3</v>
      </c>
    </row>
    <row r="92" spans="2:3" x14ac:dyDescent="0.45">
      <c r="B92">
        <f t="shared" si="5"/>
        <v>84</v>
      </c>
      <c r="C92">
        <v>3</v>
      </c>
    </row>
    <row r="93" spans="2:3" x14ac:dyDescent="0.45">
      <c r="B93">
        <f t="shared" si="5"/>
        <v>85</v>
      </c>
      <c r="C93">
        <v>7</v>
      </c>
    </row>
    <row r="94" spans="2:3" x14ac:dyDescent="0.45">
      <c r="B94">
        <f t="shared" si="5"/>
        <v>86</v>
      </c>
      <c r="C94">
        <v>5</v>
      </c>
    </row>
    <row r="95" spans="2:3" x14ac:dyDescent="0.45">
      <c r="B95">
        <f t="shared" si="5"/>
        <v>87</v>
      </c>
      <c r="C95">
        <v>3</v>
      </c>
    </row>
    <row r="96" spans="2:3" x14ac:dyDescent="0.45">
      <c r="B96">
        <f t="shared" si="5"/>
        <v>88</v>
      </c>
      <c r="C96">
        <v>6</v>
      </c>
    </row>
    <row r="97" spans="2:3" x14ac:dyDescent="0.45">
      <c r="B97">
        <f t="shared" si="5"/>
        <v>89</v>
      </c>
      <c r="C97">
        <v>6</v>
      </c>
    </row>
    <row r="98" spans="2:3" x14ac:dyDescent="0.45">
      <c r="B98">
        <f t="shared" si="5"/>
        <v>90</v>
      </c>
      <c r="C98">
        <v>2</v>
      </c>
    </row>
    <row r="99" spans="2:3" x14ac:dyDescent="0.45">
      <c r="B99">
        <f t="shared" si="5"/>
        <v>91</v>
      </c>
      <c r="C99">
        <v>5</v>
      </c>
    </row>
    <row r="100" spans="2:3" x14ac:dyDescent="0.45">
      <c r="B100">
        <f t="shared" si="5"/>
        <v>92</v>
      </c>
      <c r="C100">
        <v>4</v>
      </c>
    </row>
    <row r="101" spans="2:3" x14ac:dyDescent="0.45">
      <c r="B101">
        <f t="shared" si="5"/>
        <v>93</v>
      </c>
      <c r="C101">
        <v>0</v>
      </c>
    </row>
    <row r="102" spans="2:3" x14ac:dyDescent="0.45">
      <c r="B102">
        <f t="shared" si="5"/>
        <v>94</v>
      </c>
      <c r="C102">
        <v>4</v>
      </c>
    </row>
    <row r="103" spans="2:3" x14ac:dyDescent="0.45">
      <c r="B103">
        <f t="shared" si="5"/>
        <v>95</v>
      </c>
      <c r="C103">
        <v>3</v>
      </c>
    </row>
    <row r="104" spans="2:3" x14ac:dyDescent="0.45">
      <c r="B104">
        <f t="shared" si="5"/>
        <v>96</v>
      </c>
      <c r="C104">
        <v>5</v>
      </c>
    </row>
    <row r="105" spans="2:3" x14ac:dyDescent="0.45">
      <c r="B105">
        <f t="shared" si="5"/>
        <v>97</v>
      </c>
      <c r="C105">
        <v>1</v>
      </c>
    </row>
    <row r="106" spans="2:3" x14ac:dyDescent="0.45">
      <c r="B106">
        <f t="shared" si="5"/>
        <v>98</v>
      </c>
      <c r="C106">
        <v>4</v>
      </c>
    </row>
    <row r="107" spans="2:3" x14ac:dyDescent="0.45">
      <c r="B107">
        <f t="shared" si="5"/>
        <v>99</v>
      </c>
      <c r="C107">
        <v>1</v>
      </c>
    </row>
    <row r="108" spans="2:3" x14ac:dyDescent="0.45">
      <c r="B108">
        <f t="shared" si="5"/>
        <v>100</v>
      </c>
      <c r="C108">
        <v>2</v>
      </c>
    </row>
    <row r="109" spans="2:3" x14ac:dyDescent="0.45">
      <c r="B109">
        <f t="shared" si="5"/>
        <v>101</v>
      </c>
      <c r="C109">
        <v>3</v>
      </c>
    </row>
    <row r="110" spans="2:3" x14ac:dyDescent="0.45">
      <c r="B110">
        <f t="shared" si="5"/>
        <v>102</v>
      </c>
      <c r="C110">
        <v>3</v>
      </c>
    </row>
    <row r="111" spans="2:3" x14ac:dyDescent="0.45">
      <c r="B111">
        <f t="shared" si="5"/>
        <v>103</v>
      </c>
      <c r="C111">
        <v>6</v>
      </c>
    </row>
    <row r="112" spans="2:3" x14ac:dyDescent="0.45">
      <c r="B112">
        <f t="shared" si="5"/>
        <v>104</v>
      </c>
      <c r="C112">
        <v>3</v>
      </c>
    </row>
    <row r="113" spans="2:3" x14ac:dyDescent="0.45">
      <c r="B113">
        <f t="shared" si="5"/>
        <v>105</v>
      </c>
      <c r="C113">
        <v>11</v>
      </c>
    </row>
    <row r="114" spans="2:3" x14ac:dyDescent="0.45">
      <c r="B114">
        <f t="shared" si="5"/>
        <v>106</v>
      </c>
      <c r="C114">
        <v>5</v>
      </c>
    </row>
    <row r="115" spans="2:3" x14ac:dyDescent="0.45">
      <c r="B115">
        <f t="shared" si="5"/>
        <v>107</v>
      </c>
      <c r="C115">
        <v>7</v>
      </c>
    </row>
    <row r="116" spans="2:3" x14ac:dyDescent="0.45">
      <c r="B116">
        <f t="shared" si="5"/>
        <v>108</v>
      </c>
      <c r="C116">
        <v>4</v>
      </c>
    </row>
    <row r="117" spans="2:3" x14ac:dyDescent="0.45">
      <c r="B117">
        <f t="shared" si="5"/>
        <v>109</v>
      </c>
      <c r="C117">
        <v>5</v>
      </c>
    </row>
    <row r="118" spans="2:3" x14ac:dyDescent="0.45">
      <c r="B118">
        <f t="shared" si="5"/>
        <v>110</v>
      </c>
      <c r="C118">
        <v>2</v>
      </c>
    </row>
    <row r="119" spans="2:3" x14ac:dyDescent="0.45">
      <c r="B119">
        <f t="shared" si="5"/>
        <v>111</v>
      </c>
      <c r="C119">
        <v>2</v>
      </c>
    </row>
    <row r="120" spans="2:3" x14ac:dyDescent="0.45">
      <c r="B120">
        <f t="shared" si="5"/>
        <v>112</v>
      </c>
      <c r="C120">
        <v>2</v>
      </c>
    </row>
    <row r="121" spans="2:3" x14ac:dyDescent="0.45">
      <c r="B121">
        <f t="shared" si="5"/>
        <v>113</v>
      </c>
      <c r="C121">
        <v>1</v>
      </c>
    </row>
    <row r="122" spans="2:3" x14ac:dyDescent="0.45">
      <c r="B122">
        <f t="shared" si="5"/>
        <v>114</v>
      </c>
      <c r="C122">
        <v>7</v>
      </c>
    </row>
    <row r="123" spans="2:3" x14ac:dyDescent="0.45">
      <c r="B123">
        <f t="shared" si="5"/>
        <v>115</v>
      </c>
      <c r="C123">
        <v>6</v>
      </c>
    </row>
    <row r="124" spans="2:3" x14ac:dyDescent="0.45">
      <c r="B124">
        <f t="shared" si="5"/>
        <v>116</v>
      </c>
      <c r="C124">
        <v>5</v>
      </c>
    </row>
    <row r="125" spans="2:3" x14ac:dyDescent="0.45">
      <c r="B125">
        <f t="shared" si="5"/>
        <v>117</v>
      </c>
      <c r="C125">
        <v>4</v>
      </c>
    </row>
    <row r="126" spans="2:3" x14ac:dyDescent="0.45">
      <c r="B126">
        <f t="shared" si="5"/>
        <v>118</v>
      </c>
      <c r="C126">
        <v>4</v>
      </c>
    </row>
    <row r="127" spans="2:3" x14ac:dyDescent="0.45">
      <c r="B127">
        <f t="shared" si="5"/>
        <v>119</v>
      </c>
      <c r="C127">
        <v>1</v>
      </c>
    </row>
    <row r="128" spans="2:3" x14ac:dyDescent="0.45">
      <c r="B128">
        <f t="shared" si="5"/>
        <v>120</v>
      </c>
      <c r="C128">
        <v>3</v>
      </c>
    </row>
    <row r="129" spans="2:3" x14ac:dyDescent="0.45">
      <c r="B129">
        <f t="shared" si="5"/>
        <v>121</v>
      </c>
      <c r="C129">
        <v>4</v>
      </c>
    </row>
    <row r="130" spans="2:3" x14ac:dyDescent="0.45">
      <c r="B130">
        <f t="shared" si="5"/>
        <v>122</v>
      </c>
      <c r="C130">
        <v>2</v>
      </c>
    </row>
    <row r="131" spans="2:3" x14ac:dyDescent="0.45">
      <c r="B131">
        <f t="shared" si="5"/>
        <v>123</v>
      </c>
      <c r="C131">
        <v>8</v>
      </c>
    </row>
    <row r="132" spans="2:3" x14ac:dyDescent="0.45">
      <c r="B132">
        <f t="shared" si="5"/>
        <v>124</v>
      </c>
      <c r="C132">
        <v>7</v>
      </c>
    </row>
    <row r="133" spans="2:3" x14ac:dyDescent="0.45">
      <c r="B133">
        <f t="shared" si="5"/>
        <v>125</v>
      </c>
      <c r="C133">
        <v>5</v>
      </c>
    </row>
    <row r="134" spans="2:3" x14ac:dyDescent="0.45">
      <c r="B134">
        <f t="shared" si="5"/>
        <v>126</v>
      </c>
      <c r="C134">
        <v>2</v>
      </c>
    </row>
    <row r="135" spans="2:3" x14ac:dyDescent="0.45">
      <c r="B135">
        <f t="shared" si="5"/>
        <v>127</v>
      </c>
      <c r="C135">
        <v>5</v>
      </c>
    </row>
    <row r="136" spans="2:3" x14ac:dyDescent="0.45">
      <c r="B136">
        <f t="shared" si="5"/>
        <v>128</v>
      </c>
      <c r="C136">
        <v>3</v>
      </c>
    </row>
    <row r="137" spans="2:3" x14ac:dyDescent="0.45">
      <c r="B137">
        <f t="shared" si="5"/>
        <v>129</v>
      </c>
      <c r="C137">
        <v>5</v>
      </c>
    </row>
    <row r="138" spans="2:3" x14ac:dyDescent="0.45">
      <c r="B138">
        <f t="shared" si="5"/>
        <v>130</v>
      </c>
      <c r="C138">
        <v>7</v>
      </c>
    </row>
    <row r="139" spans="2:3" x14ac:dyDescent="0.45">
      <c r="B139">
        <f t="shared" ref="B139:B193" si="6">B138+1</f>
        <v>131</v>
      </c>
      <c r="C139">
        <v>5</v>
      </c>
    </row>
    <row r="140" spans="2:3" x14ac:dyDescent="0.45">
      <c r="B140">
        <f t="shared" si="6"/>
        <v>132</v>
      </c>
      <c r="C140">
        <v>4</v>
      </c>
    </row>
    <row r="141" spans="2:3" x14ac:dyDescent="0.45">
      <c r="B141">
        <f t="shared" si="6"/>
        <v>133</v>
      </c>
      <c r="C141">
        <v>3</v>
      </c>
    </row>
    <row r="142" spans="2:3" x14ac:dyDescent="0.45">
      <c r="B142">
        <f t="shared" si="6"/>
        <v>134</v>
      </c>
      <c r="C142">
        <v>3</v>
      </c>
    </row>
    <row r="143" spans="2:3" x14ac:dyDescent="0.45">
      <c r="B143">
        <f t="shared" si="6"/>
        <v>135</v>
      </c>
      <c r="C143">
        <v>6</v>
      </c>
    </row>
    <row r="144" spans="2:3" x14ac:dyDescent="0.45">
      <c r="B144">
        <f t="shared" si="6"/>
        <v>136</v>
      </c>
      <c r="C144">
        <v>2</v>
      </c>
    </row>
    <row r="145" spans="2:3" x14ac:dyDescent="0.45">
      <c r="B145">
        <f t="shared" si="6"/>
        <v>137</v>
      </c>
      <c r="C145">
        <v>10</v>
      </c>
    </row>
    <row r="146" spans="2:3" x14ac:dyDescent="0.45">
      <c r="B146">
        <f t="shared" si="6"/>
        <v>138</v>
      </c>
      <c r="C146">
        <v>3</v>
      </c>
    </row>
    <row r="147" spans="2:3" x14ac:dyDescent="0.45">
      <c r="B147">
        <f t="shared" si="6"/>
        <v>139</v>
      </c>
      <c r="C147">
        <v>5</v>
      </c>
    </row>
    <row r="148" spans="2:3" x14ac:dyDescent="0.45">
      <c r="B148">
        <f t="shared" si="6"/>
        <v>140</v>
      </c>
      <c r="C148">
        <v>1</v>
      </c>
    </row>
    <row r="149" spans="2:3" x14ac:dyDescent="0.45">
      <c r="B149">
        <f t="shared" si="6"/>
        <v>141</v>
      </c>
      <c r="C149">
        <v>7</v>
      </c>
    </row>
    <row r="150" spans="2:3" x14ac:dyDescent="0.45">
      <c r="B150">
        <f t="shared" si="6"/>
        <v>142</v>
      </c>
      <c r="C150">
        <v>4</v>
      </c>
    </row>
    <row r="151" spans="2:3" x14ac:dyDescent="0.45">
      <c r="B151">
        <f t="shared" si="6"/>
        <v>143</v>
      </c>
      <c r="C151">
        <v>1</v>
      </c>
    </row>
    <row r="152" spans="2:3" x14ac:dyDescent="0.45">
      <c r="B152">
        <f t="shared" si="6"/>
        <v>144</v>
      </c>
      <c r="C152">
        <v>7</v>
      </c>
    </row>
    <row r="153" spans="2:3" x14ac:dyDescent="0.45">
      <c r="B153">
        <f t="shared" si="6"/>
        <v>145</v>
      </c>
      <c r="C153">
        <v>4</v>
      </c>
    </row>
    <row r="154" spans="2:3" x14ac:dyDescent="0.45">
      <c r="B154">
        <f t="shared" si="6"/>
        <v>146</v>
      </c>
      <c r="C154">
        <v>1</v>
      </c>
    </row>
    <row r="155" spans="2:3" x14ac:dyDescent="0.45">
      <c r="B155">
        <f t="shared" si="6"/>
        <v>147</v>
      </c>
      <c r="C155">
        <v>6</v>
      </c>
    </row>
    <row r="156" spans="2:3" x14ac:dyDescent="0.45">
      <c r="B156">
        <f t="shared" si="6"/>
        <v>148</v>
      </c>
      <c r="C156">
        <v>2</v>
      </c>
    </row>
    <row r="157" spans="2:3" x14ac:dyDescent="0.45">
      <c r="B157">
        <f t="shared" si="6"/>
        <v>149</v>
      </c>
      <c r="C157">
        <v>6</v>
      </c>
    </row>
    <row r="158" spans="2:3" x14ac:dyDescent="0.45">
      <c r="B158">
        <f t="shared" si="6"/>
        <v>150</v>
      </c>
      <c r="C158">
        <v>3</v>
      </c>
    </row>
    <row r="159" spans="2:3" x14ac:dyDescent="0.45">
      <c r="B159">
        <f t="shared" si="6"/>
        <v>151</v>
      </c>
      <c r="C159">
        <v>6</v>
      </c>
    </row>
    <row r="160" spans="2:3" x14ac:dyDescent="0.45">
      <c r="B160">
        <f t="shared" si="6"/>
        <v>152</v>
      </c>
      <c r="C160">
        <v>2</v>
      </c>
    </row>
    <row r="161" spans="2:3" x14ac:dyDescent="0.45">
      <c r="B161">
        <f t="shared" si="6"/>
        <v>153</v>
      </c>
      <c r="C161">
        <v>3</v>
      </c>
    </row>
    <row r="162" spans="2:3" x14ac:dyDescent="0.45">
      <c r="B162">
        <f t="shared" si="6"/>
        <v>154</v>
      </c>
      <c r="C162">
        <v>4</v>
      </c>
    </row>
    <row r="163" spans="2:3" x14ac:dyDescent="0.45">
      <c r="B163">
        <f t="shared" si="6"/>
        <v>155</v>
      </c>
      <c r="C163">
        <v>2</v>
      </c>
    </row>
    <row r="164" spans="2:3" x14ac:dyDescent="0.45">
      <c r="B164">
        <f t="shared" si="6"/>
        <v>156</v>
      </c>
      <c r="C164">
        <v>1</v>
      </c>
    </row>
    <row r="165" spans="2:3" x14ac:dyDescent="0.45">
      <c r="B165">
        <f t="shared" si="6"/>
        <v>157</v>
      </c>
      <c r="C165">
        <v>2</v>
      </c>
    </row>
    <row r="166" spans="2:3" x14ac:dyDescent="0.45">
      <c r="B166">
        <f t="shared" si="6"/>
        <v>158</v>
      </c>
      <c r="C166">
        <v>4</v>
      </c>
    </row>
    <row r="167" spans="2:3" x14ac:dyDescent="0.45">
      <c r="B167">
        <f t="shared" si="6"/>
        <v>159</v>
      </c>
      <c r="C167">
        <v>5</v>
      </c>
    </row>
    <row r="168" spans="2:3" x14ac:dyDescent="0.45">
      <c r="B168">
        <f t="shared" si="6"/>
        <v>160</v>
      </c>
      <c r="C168">
        <v>5</v>
      </c>
    </row>
    <row r="169" spans="2:3" x14ac:dyDescent="0.45">
      <c r="B169">
        <f t="shared" si="6"/>
        <v>161</v>
      </c>
      <c r="C169">
        <v>4</v>
      </c>
    </row>
    <row r="170" spans="2:3" x14ac:dyDescent="0.45">
      <c r="B170">
        <f t="shared" si="6"/>
        <v>162</v>
      </c>
      <c r="C170">
        <v>3</v>
      </c>
    </row>
    <row r="171" spans="2:3" x14ac:dyDescent="0.45">
      <c r="B171">
        <f t="shared" si="6"/>
        <v>163</v>
      </c>
      <c r="C171">
        <v>1</v>
      </c>
    </row>
    <row r="172" spans="2:3" x14ac:dyDescent="0.45">
      <c r="B172">
        <f t="shared" si="6"/>
        <v>164</v>
      </c>
      <c r="C172">
        <v>4</v>
      </c>
    </row>
    <row r="173" spans="2:3" x14ac:dyDescent="0.45">
      <c r="B173">
        <f t="shared" si="6"/>
        <v>165</v>
      </c>
      <c r="C173">
        <v>3</v>
      </c>
    </row>
    <row r="174" spans="2:3" x14ac:dyDescent="0.45">
      <c r="B174">
        <f t="shared" si="6"/>
        <v>166</v>
      </c>
      <c r="C174">
        <v>1</v>
      </c>
    </row>
    <row r="175" spans="2:3" x14ac:dyDescent="0.45">
      <c r="B175">
        <f t="shared" si="6"/>
        <v>167</v>
      </c>
      <c r="C175">
        <v>4</v>
      </c>
    </row>
    <row r="176" spans="2:3" x14ac:dyDescent="0.45">
      <c r="B176">
        <f t="shared" si="6"/>
        <v>168</v>
      </c>
      <c r="C176">
        <v>5</v>
      </c>
    </row>
    <row r="177" spans="2:3" x14ac:dyDescent="0.45">
      <c r="B177">
        <f t="shared" si="6"/>
        <v>169</v>
      </c>
      <c r="C177">
        <v>2</v>
      </c>
    </row>
    <row r="178" spans="2:3" x14ac:dyDescent="0.45">
      <c r="B178">
        <f t="shared" si="6"/>
        <v>170</v>
      </c>
      <c r="C178">
        <v>1</v>
      </c>
    </row>
    <row r="179" spans="2:3" x14ac:dyDescent="0.45">
      <c r="B179">
        <f t="shared" si="6"/>
        <v>171</v>
      </c>
      <c r="C179">
        <v>3</v>
      </c>
    </row>
    <row r="180" spans="2:3" x14ac:dyDescent="0.45">
      <c r="B180">
        <f t="shared" si="6"/>
        <v>172</v>
      </c>
      <c r="C180">
        <v>1</v>
      </c>
    </row>
    <row r="181" spans="2:3" x14ac:dyDescent="0.45">
      <c r="B181">
        <f t="shared" si="6"/>
        <v>173</v>
      </c>
      <c r="C181">
        <v>3</v>
      </c>
    </row>
    <row r="182" spans="2:3" x14ac:dyDescent="0.45">
      <c r="B182">
        <f t="shared" si="6"/>
        <v>174</v>
      </c>
      <c r="C182">
        <v>0</v>
      </c>
    </row>
    <row r="183" spans="2:3" x14ac:dyDescent="0.45">
      <c r="B183">
        <f t="shared" si="6"/>
        <v>175</v>
      </c>
      <c r="C183">
        <v>4</v>
      </c>
    </row>
    <row r="184" spans="2:3" x14ac:dyDescent="0.45">
      <c r="B184">
        <f t="shared" si="6"/>
        <v>176</v>
      </c>
      <c r="C184">
        <v>1</v>
      </c>
    </row>
    <row r="185" spans="2:3" x14ac:dyDescent="0.45">
      <c r="B185">
        <f t="shared" si="6"/>
        <v>177</v>
      </c>
      <c r="C185">
        <v>1</v>
      </c>
    </row>
    <row r="186" spans="2:3" x14ac:dyDescent="0.45">
      <c r="B186">
        <f t="shared" si="6"/>
        <v>178</v>
      </c>
      <c r="C186">
        <v>5</v>
      </c>
    </row>
    <row r="187" spans="2:3" x14ac:dyDescent="0.45">
      <c r="B187">
        <f t="shared" si="6"/>
        <v>179</v>
      </c>
      <c r="C187">
        <v>3</v>
      </c>
    </row>
    <row r="188" spans="2:3" x14ac:dyDescent="0.45">
      <c r="B188">
        <f t="shared" si="6"/>
        <v>180</v>
      </c>
      <c r="C188">
        <v>3</v>
      </c>
    </row>
    <row r="189" spans="2:3" x14ac:dyDescent="0.45">
      <c r="B189">
        <f t="shared" si="6"/>
        <v>181</v>
      </c>
      <c r="C189">
        <v>1</v>
      </c>
    </row>
    <row r="190" spans="2:3" x14ac:dyDescent="0.45">
      <c r="B190">
        <f t="shared" si="6"/>
        <v>182</v>
      </c>
      <c r="C190">
        <v>7</v>
      </c>
    </row>
    <row r="191" spans="2:3" x14ac:dyDescent="0.45">
      <c r="B191">
        <f t="shared" si="6"/>
        <v>183</v>
      </c>
      <c r="C191">
        <v>6</v>
      </c>
    </row>
    <row r="192" spans="2:3" x14ac:dyDescent="0.45">
      <c r="B192">
        <f t="shared" si="6"/>
        <v>184</v>
      </c>
      <c r="C192">
        <v>1</v>
      </c>
    </row>
    <row r="193" spans="2:3" x14ac:dyDescent="0.45">
      <c r="B193">
        <f t="shared" si="6"/>
        <v>185</v>
      </c>
      <c r="C193">
        <v>1</v>
      </c>
    </row>
  </sheetData>
  <sortState ref="G23:G34">
    <sortCondition ref="G2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A6B2-4817-44E2-89C7-7E266D7F31BE}">
  <dimension ref="A1:K127"/>
  <sheetViews>
    <sheetView tabSelected="1" workbookViewId="0">
      <selection activeCell="T23" sqref="T23"/>
    </sheetView>
  </sheetViews>
  <sheetFormatPr defaultRowHeight="14.25" x14ac:dyDescent="0.45"/>
  <cols>
    <col min="3" max="3" width="11.33203125" customWidth="1"/>
  </cols>
  <sheetData>
    <row r="1" spans="1:4" x14ac:dyDescent="0.45">
      <c r="A1" s="2" t="s">
        <v>35</v>
      </c>
      <c r="B1" s="2"/>
      <c r="C1" s="2"/>
      <c r="D1" s="2"/>
    </row>
    <row r="3" spans="1:4" x14ac:dyDescent="0.45">
      <c r="A3" s="2">
        <v>1</v>
      </c>
      <c r="B3" t="s">
        <v>0</v>
      </c>
    </row>
    <row r="4" spans="1:4" x14ac:dyDescent="0.45">
      <c r="B4" t="s">
        <v>36</v>
      </c>
      <c r="C4" t="s">
        <v>37</v>
      </c>
      <c r="D4" t="s">
        <v>38</v>
      </c>
    </row>
    <row r="5" spans="1:4" x14ac:dyDescent="0.45">
      <c r="B5">
        <v>5</v>
      </c>
      <c r="C5">
        <f>D5/$D$15</f>
        <v>3.9499510679353991E-2</v>
      </c>
      <c r="D5">
        <v>0.21802423169652393</v>
      </c>
    </row>
    <row r="6" spans="1:4" x14ac:dyDescent="0.45">
      <c r="B6">
        <v>8</v>
      </c>
      <c r="C6">
        <f t="shared" ref="C6:C14" si="0">D6/$D$15</f>
        <v>0.18061737337100459</v>
      </c>
      <c r="D6">
        <v>0.99694814905240026</v>
      </c>
    </row>
    <row r="7" spans="1:4" x14ac:dyDescent="0.45">
      <c r="B7">
        <v>9</v>
      </c>
      <c r="C7">
        <f t="shared" si="0"/>
        <v>0.17044392717139495</v>
      </c>
      <c r="D7">
        <v>0.94079409161656546</v>
      </c>
    </row>
    <row r="8" spans="1:4" x14ac:dyDescent="0.45">
      <c r="B8">
        <v>12</v>
      </c>
      <c r="C8">
        <f t="shared" si="0"/>
        <v>5.2138911772999456E-3</v>
      </c>
      <c r="D8">
        <v>2.8778954435865353E-2</v>
      </c>
    </row>
    <row r="9" spans="1:4" x14ac:dyDescent="0.45">
      <c r="B9">
        <v>14</v>
      </c>
      <c r="C9">
        <f t="shared" si="0"/>
        <v>4.0301222472258015E-2</v>
      </c>
      <c r="D9">
        <v>0.22244941557054354</v>
      </c>
    </row>
    <row r="10" spans="1:4" x14ac:dyDescent="0.45">
      <c r="B10">
        <v>17</v>
      </c>
      <c r="C10">
        <f t="shared" si="0"/>
        <v>2.163516031471335E-2</v>
      </c>
      <c r="D10">
        <v>0.11941892757957702</v>
      </c>
    </row>
    <row r="11" spans="1:4" x14ac:dyDescent="0.45">
      <c r="B11">
        <v>19</v>
      </c>
      <c r="C11">
        <f t="shared" si="0"/>
        <v>0.17057109524889005</v>
      </c>
      <c r="D11">
        <v>0.94149601733451338</v>
      </c>
    </row>
    <row r="12" spans="1:4" x14ac:dyDescent="0.45">
      <c r="B12">
        <v>21</v>
      </c>
      <c r="C12">
        <f t="shared" si="0"/>
        <v>0.10796569779335742</v>
      </c>
      <c r="D12">
        <v>0.59593493453779722</v>
      </c>
    </row>
    <row r="13" spans="1:4" x14ac:dyDescent="0.45">
      <c r="B13">
        <v>25</v>
      </c>
      <c r="C13">
        <f t="shared" si="0"/>
        <v>0.14343453332080086</v>
      </c>
      <c r="D13">
        <v>0.7917111728263192</v>
      </c>
    </row>
    <row r="14" spans="1:4" x14ac:dyDescent="0.45">
      <c r="B14">
        <v>29</v>
      </c>
      <c r="C14">
        <f t="shared" si="0"/>
        <v>0.12031758845092695</v>
      </c>
      <c r="D14">
        <v>0.6641132847071749</v>
      </c>
    </row>
    <row r="15" spans="1:4" x14ac:dyDescent="0.45">
      <c r="B15" t="s">
        <v>12</v>
      </c>
      <c r="C15">
        <f>SUM(C5:C14)</f>
        <v>1</v>
      </c>
      <c r="D15">
        <f>SUM(D5:D14)</f>
        <v>5.5196691793572796</v>
      </c>
    </row>
    <row r="16" spans="1:4" x14ac:dyDescent="0.45">
      <c r="B16" t="s">
        <v>39</v>
      </c>
      <c r="D16" s="1">
        <v>107.5991088595233</v>
      </c>
    </row>
    <row r="18" spans="1:11" ht="14.65" thickBot="1" x14ac:dyDescent="0.5">
      <c r="A18" s="2">
        <v>2</v>
      </c>
      <c r="B18" t="s">
        <v>3</v>
      </c>
      <c r="E18" s="2">
        <v>3</v>
      </c>
      <c r="F18" t="s">
        <v>7</v>
      </c>
    </row>
    <row r="19" spans="1:11" x14ac:dyDescent="0.45">
      <c r="B19" t="s">
        <v>4</v>
      </c>
      <c r="C19" t="s">
        <v>5</v>
      </c>
      <c r="F19" s="6" t="s">
        <v>9</v>
      </c>
      <c r="G19" s="6" t="s">
        <v>11</v>
      </c>
      <c r="I19" t="s">
        <v>41</v>
      </c>
      <c r="J19" t="s">
        <v>14</v>
      </c>
      <c r="K19" t="s">
        <v>31</v>
      </c>
    </row>
    <row r="20" spans="1:11" x14ac:dyDescent="0.45">
      <c r="B20">
        <v>1</v>
      </c>
      <c r="C20">
        <v>29</v>
      </c>
      <c r="F20" s="3">
        <v>5</v>
      </c>
      <c r="G20" s="4">
        <v>3</v>
      </c>
      <c r="I20">
        <f>G20/$G$31</f>
        <v>2.7777777777777776E-2</v>
      </c>
      <c r="J20">
        <v>3.9499510679353991E-2</v>
      </c>
      <c r="K20">
        <f>I20</f>
        <v>2.7777777777777776E-2</v>
      </c>
    </row>
    <row r="21" spans="1:11" x14ac:dyDescent="0.45">
      <c r="B21">
        <f>B20+1</f>
        <v>2</v>
      </c>
      <c r="C21">
        <v>8</v>
      </c>
      <c r="F21" s="3">
        <v>8</v>
      </c>
      <c r="G21" s="4">
        <v>25</v>
      </c>
      <c r="I21">
        <f t="shared" ref="I21:I29" si="1">G21/$G$31</f>
        <v>0.23148148148148148</v>
      </c>
      <c r="J21">
        <v>0.18061737337100459</v>
      </c>
      <c r="K21">
        <f>K20+I21</f>
        <v>0.25925925925925924</v>
      </c>
    </row>
    <row r="22" spans="1:11" x14ac:dyDescent="0.45">
      <c r="B22">
        <f t="shared" ref="B22:B85" si="2">B21+1</f>
        <v>3</v>
      </c>
      <c r="C22">
        <v>25</v>
      </c>
      <c r="F22" s="3">
        <v>9</v>
      </c>
      <c r="G22" s="4">
        <v>16</v>
      </c>
      <c r="I22">
        <f t="shared" si="1"/>
        <v>0.14814814814814814</v>
      </c>
      <c r="J22">
        <v>0.17044392717139495</v>
      </c>
      <c r="K22">
        <f t="shared" ref="K22:K29" si="3">K21+I22</f>
        <v>0.40740740740740738</v>
      </c>
    </row>
    <row r="23" spans="1:11" x14ac:dyDescent="0.45">
      <c r="B23">
        <f t="shared" si="2"/>
        <v>4</v>
      </c>
      <c r="C23">
        <v>19</v>
      </c>
      <c r="F23" s="3">
        <v>12</v>
      </c>
      <c r="G23" s="4">
        <v>0</v>
      </c>
      <c r="I23">
        <f t="shared" si="1"/>
        <v>0</v>
      </c>
      <c r="J23">
        <v>5.2138911772999456E-3</v>
      </c>
      <c r="K23">
        <f t="shared" si="3"/>
        <v>0.40740740740740738</v>
      </c>
    </row>
    <row r="24" spans="1:11" x14ac:dyDescent="0.45">
      <c r="B24">
        <f t="shared" si="2"/>
        <v>5</v>
      </c>
      <c r="C24">
        <v>8</v>
      </c>
      <c r="F24" s="3">
        <v>14</v>
      </c>
      <c r="G24" s="4">
        <v>3</v>
      </c>
      <c r="I24">
        <f t="shared" si="1"/>
        <v>2.7777777777777776E-2</v>
      </c>
      <c r="J24">
        <v>4.0301222472258015E-2</v>
      </c>
      <c r="K24">
        <f t="shared" si="3"/>
        <v>0.43518518518518517</v>
      </c>
    </row>
    <row r="25" spans="1:11" x14ac:dyDescent="0.45">
      <c r="B25">
        <f t="shared" si="2"/>
        <v>6</v>
      </c>
      <c r="C25">
        <v>9</v>
      </c>
      <c r="F25" s="3">
        <v>17</v>
      </c>
      <c r="G25" s="4">
        <v>3</v>
      </c>
      <c r="I25">
        <f t="shared" si="1"/>
        <v>2.7777777777777776E-2</v>
      </c>
      <c r="J25">
        <v>2.163516031471335E-2</v>
      </c>
      <c r="K25">
        <f t="shared" si="3"/>
        <v>0.46296296296296297</v>
      </c>
    </row>
    <row r="26" spans="1:11" x14ac:dyDescent="0.45">
      <c r="B26">
        <f t="shared" si="2"/>
        <v>7</v>
      </c>
      <c r="C26">
        <v>21</v>
      </c>
      <c r="F26" s="3">
        <v>19</v>
      </c>
      <c r="G26" s="4">
        <v>20</v>
      </c>
      <c r="I26">
        <f t="shared" si="1"/>
        <v>0.18518518518518517</v>
      </c>
      <c r="J26">
        <v>0.17057109524889005</v>
      </c>
      <c r="K26">
        <f t="shared" si="3"/>
        <v>0.64814814814814814</v>
      </c>
    </row>
    <row r="27" spans="1:11" x14ac:dyDescent="0.45">
      <c r="B27">
        <f t="shared" si="2"/>
        <v>8</v>
      </c>
      <c r="C27">
        <v>19</v>
      </c>
      <c r="F27" s="3">
        <v>21</v>
      </c>
      <c r="G27" s="4">
        <v>16</v>
      </c>
      <c r="I27">
        <f t="shared" si="1"/>
        <v>0.14814814814814814</v>
      </c>
      <c r="J27">
        <v>0.10796569779335742</v>
      </c>
      <c r="K27">
        <f t="shared" si="3"/>
        <v>0.79629629629629628</v>
      </c>
    </row>
    <row r="28" spans="1:11" x14ac:dyDescent="0.45">
      <c r="B28">
        <f t="shared" si="2"/>
        <v>9</v>
      </c>
      <c r="C28">
        <v>17</v>
      </c>
      <c r="F28" s="3">
        <v>25</v>
      </c>
      <c r="G28" s="4">
        <v>13</v>
      </c>
      <c r="I28">
        <f t="shared" si="1"/>
        <v>0.12037037037037036</v>
      </c>
      <c r="J28">
        <v>0.14343453332080086</v>
      </c>
      <c r="K28">
        <f t="shared" si="3"/>
        <v>0.91666666666666663</v>
      </c>
    </row>
    <row r="29" spans="1:11" x14ac:dyDescent="0.45">
      <c r="B29">
        <f t="shared" si="2"/>
        <v>10</v>
      </c>
      <c r="C29">
        <v>8</v>
      </c>
      <c r="F29" s="3">
        <v>29</v>
      </c>
      <c r="G29" s="4">
        <v>9</v>
      </c>
      <c r="I29">
        <f t="shared" si="1"/>
        <v>8.3333333333333329E-2</v>
      </c>
      <c r="J29">
        <v>0.12031758845092695</v>
      </c>
      <c r="K29">
        <f t="shared" si="3"/>
        <v>1</v>
      </c>
    </row>
    <row r="30" spans="1:11" ht="14.65" thickBot="1" x14ac:dyDescent="0.5">
      <c r="B30">
        <f t="shared" si="2"/>
        <v>11</v>
      </c>
      <c r="C30">
        <v>8</v>
      </c>
      <c r="F30" s="5" t="s">
        <v>10</v>
      </c>
      <c r="G30" s="5">
        <v>0</v>
      </c>
    </row>
    <row r="31" spans="1:11" x14ac:dyDescent="0.45">
      <c r="B31">
        <f t="shared" si="2"/>
        <v>12</v>
      </c>
      <c r="C31">
        <v>14</v>
      </c>
      <c r="F31" t="s">
        <v>40</v>
      </c>
      <c r="G31">
        <f>SUM(G20:G29)</f>
        <v>108</v>
      </c>
      <c r="I31">
        <f>SUM(I20:I29)</f>
        <v>1</v>
      </c>
      <c r="J31">
        <f>SUM(J20:J29)</f>
        <v>1</v>
      </c>
    </row>
    <row r="32" spans="1:11" x14ac:dyDescent="0.45">
      <c r="B32">
        <f t="shared" si="2"/>
        <v>13</v>
      </c>
      <c r="C32">
        <v>9</v>
      </c>
    </row>
    <row r="33" spans="2:9" x14ac:dyDescent="0.45">
      <c r="B33">
        <f t="shared" si="2"/>
        <v>14</v>
      </c>
      <c r="C33">
        <v>8</v>
      </c>
      <c r="E33" s="2">
        <v>4</v>
      </c>
      <c r="F33" t="s">
        <v>16</v>
      </c>
    </row>
    <row r="34" spans="2:9" x14ac:dyDescent="0.45">
      <c r="B34">
        <f t="shared" si="2"/>
        <v>15</v>
      </c>
      <c r="C34">
        <v>19</v>
      </c>
      <c r="E34" t="s">
        <v>17</v>
      </c>
      <c r="I34">
        <f>AVERAGE(C20:C127)</f>
        <v>16.24074074074074</v>
      </c>
    </row>
    <row r="35" spans="2:9" x14ac:dyDescent="0.45">
      <c r="B35">
        <f t="shared" si="2"/>
        <v>16</v>
      </c>
      <c r="C35">
        <v>9</v>
      </c>
      <c r="E35" t="s">
        <v>18</v>
      </c>
      <c r="I35">
        <f>_xlfn.STDEV.S(C20:C127)</f>
        <v>7.431771113004066</v>
      </c>
    </row>
    <row r="36" spans="2:9" x14ac:dyDescent="0.45">
      <c r="B36">
        <f t="shared" si="2"/>
        <v>17</v>
      </c>
      <c r="C36">
        <v>8</v>
      </c>
      <c r="E36" t="s">
        <v>19</v>
      </c>
      <c r="I36">
        <f>_xlfn.VAR.S(C20:C127)</f>
        <v>55.23122187608169</v>
      </c>
    </row>
    <row r="37" spans="2:9" x14ac:dyDescent="0.45">
      <c r="B37">
        <f t="shared" si="2"/>
        <v>18</v>
      </c>
      <c r="C37">
        <v>25</v>
      </c>
      <c r="E37" t="s">
        <v>20</v>
      </c>
      <c r="I37">
        <f>SKEW(C20:C127)</f>
        <v>0.1210570522532133</v>
      </c>
    </row>
    <row r="38" spans="2:9" x14ac:dyDescent="0.45">
      <c r="B38">
        <f t="shared" si="2"/>
        <v>19</v>
      </c>
      <c r="C38">
        <v>9</v>
      </c>
      <c r="E38" t="s">
        <v>21</v>
      </c>
      <c r="I38">
        <f>KURT(C20:C127)</f>
        <v>-1.3631419746561317</v>
      </c>
    </row>
    <row r="39" spans="2:9" x14ac:dyDescent="0.45">
      <c r="B39">
        <f t="shared" si="2"/>
        <v>20</v>
      </c>
      <c r="C39">
        <v>8</v>
      </c>
    </row>
    <row r="40" spans="2:9" x14ac:dyDescent="0.45">
      <c r="B40">
        <f t="shared" si="2"/>
        <v>21</v>
      </c>
      <c r="C40">
        <v>21</v>
      </c>
    </row>
    <row r="41" spans="2:9" x14ac:dyDescent="0.45">
      <c r="B41">
        <f t="shared" si="2"/>
        <v>22</v>
      </c>
      <c r="C41">
        <v>21</v>
      </c>
    </row>
    <row r="42" spans="2:9" x14ac:dyDescent="0.45">
      <c r="B42">
        <f t="shared" si="2"/>
        <v>23</v>
      </c>
      <c r="C42">
        <v>19</v>
      </c>
    </row>
    <row r="43" spans="2:9" x14ac:dyDescent="0.45">
      <c r="B43">
        <f t="shared" si="2"/>
        <v>24</v>
      </c>
      <c r="C43">
        <v>8</v>
      </c>
    </row>
    <row r="44" spans="2:9" x14ac:dyDescent="0.45">
      <c r="B44">
        <f t="shared" si="2"/>
        <v>25</v>
      </c>
      <c r="C44">
        <v>9</v>
      </c>
    </row>
    <row r="45" spans="2:9" x14ac:dyDescent="0.45">
      <c r="B45">
        <f t="shared" si="2"/>
        <v>26</v>
      </c>
      <c r="C45">
        <v>8</v>
      </c>
    </row>
    <row r="46" spans="2:9" x14ac:dyDescent="0.45">
      <c r="B46">
        <f t="shared" si="2"/>
        <v>27</v>
      </c>
      <c r="C46">
        <v>29</v>
      </c>
    </row>
    <row r="47" spans="2:9" x14ac:dyDescent="0.45">
      <c r="B47">
        <f t="shared" si="2"/>
        <v>28</v>
      </c>
      <c r="C47">
        <v>19</v>
      </c>
    </row>
    <row r="48" spans="2:9" x14ac:dyDescent="0.45">
      <c r="B48">
        <f t="shared" si="2"/>
        <v>29</v>
      </c>
      <c r="C48">
        <v>9</v>
      </c>
    </row>
    <row r="49" spans="2:3" x14ac:dyDescent="0.45">
      <c r="B49">
        <f t="shared" si="2"/>
        <v>30</v>
      </c>
      <c r="C49">
        <v>8</v>
      </c>
    </row>
    <row r="50" spans="2:3" x14ac:dyDescent="0.45">
      <c r="B50">
        <f t="shared" si="2"/>
        <v>31</v>
      </c>
      <c r="C50">
        <v>19</v>
      </c>
    </row>
    <row r="51" spans="2:3" x14ac:dyDescent="0.45">
      <c r="B51">
        <f t="shared" si="2"/>
        <v>32</v>
      </c>
      <c r="C51">
        <v>21</v>
      </c>
    </row>
    <row r="52" spans="2:3" x14ac:dyDescent="0.45">
      <c r="B52">
        <f t="shared" si="2"/>
        <v>33</v>
      </c>
      <c r="C52">
        <v>8</v>
      </c>
    </row>
    <row r="53" spans="2:3" x14ac:dyDescent="0.45">
      <c r="B53">
        <f t="shared" si="2"/>
        <v>34</v>
      </c>
      <c r="C53">
        <v>17</v>
      </c>
    </row>
    <row r="54" spans="2:3" x14ac:dyDescent="0.45">
      <c r="B54">
        <f t="shared" si="2"/>
        <v>35</v>
      </c>
      <c r="C54">
        <v>25</v>
      </c>
    </row>
    <row r="55" spans="2:3" x14ac:dyDescent="0.45">
      <c r="B55">
        <f t="shared" si="2"/>
        <v>36</v>
      </c>
      <c r="C55">
        <v>8</v>
      </c>
    </row>
    <row r="56" spans="2:3" x14ac:dyDescent="0.45">
      <c r="B56">
        <f t="shared" si="2"/>
        <v>37</v>
      </c>
      <c r="C56">
        <v>19</v>
      </c>
    </row>
    <row r="57" spans="2:3" x14ac:dyDescent="0.45">
      <c r="B57">
        <f t="shared" si="2"/>
        <v>38</v>
      </c>
      <c r="C57">
        <v>21</v>
      </c>
    </row>
    <row r="58" spans="2:3" x14ac:dyDescent="0.45">
      <c r="B58">
        <f t="shared" si="2"/>
        <v>39</v>
      </c>
      <c r="C58">
        <v>8</v>
      </c>
    </row>
    <row r="59" spans="2:3" x14ac:dyDescent="0.45">
      <c r="B59">
        <f t="shared" si="2"/>
        <v>40</v>
      </c>
      <c r="C59">
        <v>9</v>
      </c>
    </row>
    <row r="60" spans="2:3" x14ac:dyDescent="0.45">
      <c r="B60">
        <f t="shared" si="2"/>
        <v>41</v>
      </c>
      <c r="C60">
        <v>8</v>
      </c>
    </row>
    <row r="61" spans="2:3" x14ac:dyDescent="0.45">
      <c r="B61">
        <f t="shared" si="2"/>
        <v>42</v>
      </c>
      <c r="C61">
        <v>25</v>
      </c>
    </row>
    <row r="62" spans="2:3" x14ac:dyDescent="0.45">
      <c r="B62">
        <f t="shared" si="2"/>
        <v>43</v>
      </c>
      <c r="C62">
        <v>19</v>
      </c>
    </row>
    <row r="63" spans="2:3" x14ac:dyDescent="0.45">
      <c r="B63">
        <f t="shared" si="2"/>
        <v>44</v>
      </c>
      <c r="C63">
        <v>29</v>
      </c>
    </row>
    <row r="64" spans="2:3" x14ac:dyDescent="0.45">
      <c r="B64">
        <f t="shared" si="2"/>
        <v>45</v>
      </c>
      <c r="C64">
        <v>25</v>
      </c>
    </row>
    <row r="65" spans="2:3" x14ac:dyDescent="0.45">
      <c r="B65">
        <f t="shared" si="2"/>
        <v>46</v>
      </c>
      <c r="C65">
        <v>29</v>
      </c>
    </row>
    <row r="66" spans="2:3" x14ac:dyDescent="0.45">
      <c r="B66">
        <f t="shared" si="2"/>
        <v>47</v>
      </c>
      <c r="C66">
        <v>19</v>
      </c>
    </row>
    <row r="67" spans="2:3" x14ac:dyDescent="0.45">
      <c r="B67">
        <f t="shared" si="2"/>
        <v>48</v>
      </c>
      <c r="C67">
        <v>8</v>
      </c>
    </row>
    <row r="68" spans="2:3" x14ac:dyDescent="0.45">
      <c r="B68">
        <f t="shared" si="2"/>
        <v>49</v>
      </c>
      <c r="C68">
        <v>21</v>
      </c>
    </row>
    <row r="69" spans="2:3" x14ac:dyDescent="0.45">
      <c r="B69">
        <f t="shared" si="2"/>
        <v>50</v>
      </c>
      <c r="C69">
        <v>8</v>
      </c>
    </row>
    <row r="70" spans="2:3" x14ac:dyDescent="0.45">
      <c r="B70">
        <f t="shared" si="2"/>
        <v>51</v>
      </c>
      <c r="C70">
        <v>21</v>
      </c>
    </row>
    <row r="71" spans="2:3" x14ac:dyDescent="0.45">
      <c r="B71">
        <f t="shared" si="2"/>
        <v>52</v>
      </c>
      <c r="C71">
        <v>8</v>
      </c>
    </row>
    <row r="72" spans="2:3" x14ac:dyDescent="0.45">
      <c r="B72">
        <f t="shared" si="2"/>
        <v>53</v>
      </c>
      <c r="C72">
        <v>8</v>
      </c>
    </row>
    <row r="73" spans="2:3" x14ac:dyDescent="0.45">
      <c r="B73">
        <f t="shared" si="2"/>
        <v>54</v>
      </c>
      <c r="C73">
        <v>9</v>
      </c>
    </row>
    <row r="74" spans="2:3" x14ac:dyDescent="0.45">
      <c r="B74">
        <f t="shared" si="2"/>
        <v>55</v>
      </c>
      <c r="C74">
        <v>21</v>
      </c>
    </row>
    <row r="75" spans="2:3" x14ac:dyDescent="0.45">
      <c r="B75">
        <f t="shared" si="2"/>
        <v>56</v>
      </c>
      <c r="C75">
        <v>19</v>
      </c>
    </row>
    <row r="76" spans="2:3" x14ac:dyDescent="0.45">
      <c r="B76">
        <f t="shared" si="2"/>
        <v>57</v>
      </c>
      <c r="C76">
        <v>29</v>
      </c>
    </row>
    <row r="77" spans="2:3" x14ac:dyDescent="0.45">
      <c r="B77">
        <f t="shared" si="2"/>
        <v>58</v>
      </c>
      <c r="C77">
        <v>5</v>
      </c>
    </row>
    <row r="78" spans="2:3" x14ac:dyDescent="0.45">
      <c r="B78">
        <f t="shared" si="2"/>
        <v>59</v>
      </c>
      <c r="C78">
        <v>9</v>
      </c>
    </row>
    <row r="79" spans="2:3" x14ac:dyDescent="0.45">
      <c r="B79">
        <f t="shared" si="2"/>
        <v>60</v>
      </c>
      <c r="C79">
        <v>29</v>
      </c>
    </row>
    <row r="80" spans="2:3" x14ac:dyDescent="0.45">
      <c r="B80">
        <f t="shared" si="2"/>
        <v>61</v>
      </c>
      <c r="C80">
        <v>19</v>
      </c>
    </row>
    <row r="81" spans="2:3" x14ac:dyDescent="0.45">
      <c r="B81">
        <f t="shared" si="2"/>
        <v>62</v>
      </c>
      <c r="C81">
        <v>14</v>
      </c>
    </row>
    <row r="82" spans="2:3" x14ac:dyDescent="0.45">
      <c r="B82">
        <f t="shared" si="2"/>
        <v>63</v>
      </c>
      <c r="C82">
        <v>21</v>
      </c>
    </row>
    <row r="83" spans="2:3" x14ac:dyDescent="0.45">
      <c r="B83">
        <f t="shared" si="2"/>
        <v>64</v>
      </c>
      <c r="C83">
        <v>25</v>
      </c>
    </row>
    <row r="84" spans="2:3" x14ac:dyDescent="0.45">
      <c r="B84">
        <f t="shared" si="2"/>
        <v>65</v>
      </c>
      <c r="C84">
        <v>17</v>
      </c>
    </row>
    <row r="85" spans="2:3" x14ac:dyDescent="0.45">
      <c r="B85">
        <f t="shared" si="2"/>
        <v>66</v>
      </c>
      <c r="C85">
        <v>19</v>
      </c>
    </row>
    <row r="86" spans="2:3" x14ac:dyDescent="0.45">
      <c r="B86">
        <f t="shared" ref="B86:B127" si="4">B85+1</f>
        <v>67</v>
      </c>
      <c r="C86">
        <v>21</v>
      </c>
    </row>
    <row r="87" spans="2:3" x14ac:dyDescent="0.45">
      <c r="B87">
        <f t="shared" si="4"/>
        <v>68</v>
      </c>
      <c r="C87">
        <v>21</v>
      </c>
    </row>
    <row r="88" spans="2:3" x14ac:dyDescent="0.45">
      <c r="B88">
        <f t="shared" si="4"/>
        <v>69</v>
      </c>
      <c r="C88">
        <v>9</v>
      </c>
    </row>
    <row r="89" spans="2:3" x14ac:dyDescent="0.45">
      <c r="B89">
        <f t="shared" si="4"/>
        <v>70</v>
      </c>
      <c r="C89">
        <v>9</v>
      </c>
    </row>
    <row r="90" spans="2:3" x14ac:dyDescent="0.45">
      <c r="B90">
        <f t="shared" si="4"/>
        <v>71</v>
      </c>
      <c r="C90">
        <v>19</v>
      </c>
    </row>
    <row r="91" spans="2:3" x14ac:dyDescent="0.45">
      <c r="B91">
        <f t="shared" si="4"/>
        <v>72</v>
      </c>
      <c r="C91">
        <v>8</v>
      </c>
    </row>
    <row r="92" spans="2:3" x14ac:dyDescent="0.45">
      <c r="B92">
        <f t="shared" si="4"/>
        <v>73</v>
      </c>
      <c r="C92">
        <v>25</v>
      </c>
    </row>
    <row r="93" spans="2:3" x14ac:dyDescent="0.45">
      <c r="B93">
        <f t="shared" si="4"/>
        <v>74</v>
      </c>
      <c r="C93">
        <v>21</v>
      </c>
    </row>
    <row r="94" spans="2:3" x14ac:dyDescent="0.45">
      <c r="B94">
        <f t="shared" si="4"/>
        <v>75</v>
      </c>
      <c r="C94">
        <v>8</v>
      </c>
    </row>
    <row r="95" spans="2:3" x14ac:dyDescent="0.45">
      <c r="B95">
        <f t="shared" si="4"/>
        <v>76</v>
      </c>
      <c r="C95">
        <v>14</v>
      </c>
    </row>
    <row r="96" spans="2:3" x14ac:dyDescent="0.45">
      <c r="B96">
        <f t="shared" si="4"/>
        <v>77</v>
      </c>
      <c r="C96">
        <v>9</v>
      </c>
    </row>
    <row r="97" spans="2:3" x14ac:dyDescent="0.45">
      <c r="B97">
        <f t="shared" si="4"/>
        <v>78</v>
      </c>
      <c r="C97">
        <v>9</v>
      </c>
    </row>
    <row r="98" spans="2:3" x14ac:dyDescent="0.45">
      <c r="B98">
        <f t="shared" si="4"/>
        <v>79</v>
      </c>
      <c r="C98">
        <v>29</v>
      </c>
    </row>
    <row r="99" spans="2:3" x14ac:dyDescent="0.45">
      <c r="B99">
        <f t="shared" si="4"/>
        <v>80</v>
      </c>
      <c r="C99">
        <v>25</v>
      </c>
    </row>
    <row r="100" spans="2:3" x14ac:dyDescent="0.45">
      <c r="B100">
        <f t="shared" si="4"/>
        <v>81</v>
      </c>
      <c r="C100">
        <v>25</v>
      </c>
    </row>
    <row r="101" spans="2:3" x14ac:dyDescent="0.45">
      <c r="B101">
        <f t="shared" si="4"/>
        <v>82</v>
      </c>
      <c r="C101">
        <v>21</v>
      </c>
    </row>
    <row r="102" spans="2:3" x14ac:dyDescent="0.45">
      <c r="B102">
        <f t="shared" si="4"/>
        <v>83</v>
      </c>
      <c r="C102">
        <v>21</v>
      </c>
    </row>
    <row r="103" spans="2:3" x14ac:dyDescent="0.45">
      <c r="B103">
        <f t="shared" si="4"/>
        <v>84</v>
      </c>
      <c r="C103">
        <v>5</v>
      </c>
    </row>
    <row r="104" spans="2:3" x14ac:dyDescent="0.45">
      <c r="B104">
        <f t="shared" si="4"/>
        <v>85</v>
      </c>
      <c r="C104">
        <v>25</v>
      </c>
    </row>
    <row r="105" spans="2:3" x14ac:dyDescent="0.45">
      <c r="B105">
        <f t="shared" si="4"/>
        <v>86</v>
      </c>
      <c r="C105">
        <v>5</v>
      </c>
    </row>
    <row r="106" spans="2:3" x14ac:dyDescent="0.45">
      <c r="B106">
        <f t="shared" si="4"/>
        <v>87</v>
      </c>
      <c r="C106">
        <v>19</v>
      </c>
    </row>
    <row r="107" spans="2:3" x14ac:dyDescent="0.45">
      <c r="B107">
        <f t="shared" si="4"/>
        <v>88</v>
      </c>
      <c r="C107">
        <v>19</v>
      </c>
    </row>
    <row r="108" spans="2:3" x14ac:dyDescent="0.45">
      <c r="B108">
        <f t="shared" si="4"/>
        <v>89</v>
      </c>
      <c r="C108">
        <v>8</v>
      </c>
    </row>
    <row r="109" spans="2:3" x14ac:dyDescent="0.45">
      <c r="B109">
        <f t="shared" si="4"/>
        <v>90</v>
      </c>
      <c r="C109">
        <v>25</v>
      </c>
    </row>
    <row r="110" spans="2:3" x14ac:dyDescent="0.45">
      <c r="B110">
        <f t="shared" si="4"/>
        <v>91</v>
      </c>
      <c r="C110">
        <v>19</v>
      </c>
    </row>
    <row r="111" spans="2:3" x14ac:dyDescent="0.45">
      <c r="B111">
        <f t="shared" si="4"/>
        <v>92</v>
      </c>
      <c r="C111">
        <v>25</v>
      </c>
    </row>
    <row r="112" spans="2:3" x14ac:dyDescent="0.45">
      <c r="B112">
        <f t="shared" si="4"/>
        <v>93</v>
      </c>
      <c r="C112">
        <v>21</v>
      </c>
    </row>
    <row r="113" spans="2:3" x14ac:dyDescent="0.45">
      <c r="B113">
        <f t="shared" si="4"/>
        <v>94</v>
      </c>
      <c r="C113">
        <v>19</v>
      </c>
    </row>
    <row r="114" spans="2:3" x14ac:dyDescent="0.45">
      <c r="B114">
        <f t="shared" si="4"/>
        <v>95</v>
      </c>
      <c r="C114">
        <v>8</v>
      </c>
    </row>
    <row r="115" spans="2:3" x14ac:dyDescent="0.45">
      <c r="B115">
        <f t="shared" si="4"/>
        <v>96</v>
      </c>
      <c r="C115">
        <v>9</v>
      </c>
    </row>
    <row r="116" spans="2:3" x14ac:dyDescent="0.45">
      <c r="B116">
        <f t="shared" si="4"/>
        <v>97</v>
      </c>
      <c r="C116">
        <v>8</v>
      </c>
    </row>
    <row r="117" spans="2:3" x14ac:dyDescent="0.45">
      <c r="B117">
        <f t="shared" si="4"/>
        <v>98</v>
      </c>
      <c r="C117">
        <v>8</v>
      </c>
    </row>
    <row r="118" spans="2:3" x14ac:dyDescent="0.45">
      <c r="B118">
        <f t="shared" si="4"/>
        <v>99</v>
      </c>
      <c r="C118">
        <v>19</v>
      </c>
    </row>
    <row r="119" spans="2:3" x14ac:dyDescent="0.45">
      <c r="B119">
        <f t="shared" si="4"/>
        <v>100</v>
      </c>
      <c r="C119">
        <v>9</v>
      </c>
    </row>
    <row r="120" spans="2:3" x14ac:dyDescent="0.45">
      <c r="B120">
        <f t="shared" si="4"/>
        <v>101</v>
      </c>
      <c r="C120">
        <v>21</v>
      </c>
    </row>
    <row r="121" spans="2:3" x14ac:dyDescent="0.45">
      <c r="B121">
        <f t="shared" si="4"/>
        <v>102</v>
      </c>
      <c r="C121">
        <v>8</v>
      </c>
    </row>
    <row r="122" spans="2:3" x14ac:dyDescent="0.45">
      <c r="B122">
        <f t="shared" si="4"/>
        <v>103</v>
      </c>
      <c r="C122">
        <v>9</v>
      </c>
    </row>
    <row r="123" spans="2:3" x14ac:dyDescent="0.45">
      <c r="B123">
        <f t="shared" si="4"/>
        <v>104</v>
      </c>
      <c r="C123">
        <v>29</v>
      </c>
    </row>
    <row r="124" spans="2:3" x14ac:dyDescent="0.45">
      <c r="B124">
        <f t="shared" si="4"/>
        <v>105</v>
      </c>
      <c r="C124">
        <v>19</v>
      </c>
    </row>
    <row r="125" spans="2:3" x14ac:dyDescent="0.45">
      <c r="B125">
        <f t="shared" si="4"/>
        <v>106</v>
      </c>
      <c r="C125">
        <v>19</v>
      </c>
    </row>
    <row r="126" spans="2:3" x14ac:dyDescent="0.45">
      <c r="B126">
        <f t="shared" si="4"/>
        <v>107</v>
      </c>
      <c r="C126">
        <v>25</v>
      </c>
    </row>
    <row r="127" spans="2:3" x14ac:dyDescent="0.45">
      <c r="B127">
        <f t="shared" si="4"/>
        <v>108</v>
      </c>
      <c r="C127">
        <v>29</v>
      </c>
    </row>
  </sheetData>
  <sortState ref="F20:F29">
    <sortCondition ref="F20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1.1.1. Бернулли</vt:lpstr>
      <vt:lpstr>1.1.2. Биномиальное</vt:lpstr>
      <vt:lpstr>1.1.3. Пуассона</vt:lpstr>
      <vt:lpstr>1.1.4. Дискретное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</dc:creator>
  <cp:lastModifiedBy>Yar</cp:lastModifiedBy>
  <dcterms:created xsi:type="dcterms:W3CDTF">2025-09-28T15:01:21Z</dcterms:created>
  <dcterms:modified xsi:type="dcterms:W3CDTF">2026-01-05T14:55:35Z</dcterms:modified>
</cp:coreProperties>
</file>